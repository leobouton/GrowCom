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1"/>
  </bookViews>
  <sheets>
    <sheet sheetId="1" name="Mode d’emploi" state="visible" r:id="rId4"/>
    <sheet sheetId="2" name="Grille" state="visible" r:id="rId5"/>
    <sheet sheetId="3" name="Ventes" state="visible" r:id="rId6"/>
  </sheets>
  <definedNames>
    <definedName name="SaisieHonoraires">Grille!$B$7</definedName>
    <definedName name="TauxTVA">Grille!$B$8</definedName>
    <definedName name="ModePaliers">Grille!$B$9</definedName>
    <definedName name="CAInitial">Grille!$B$10</definedName>
    <definedName name="Seuils">Grille!$B$15:$B$20</definedName>
    <definedName name="Ecarts">Grille!$E$15:$E$20</definedName>
  </definedNames>
  <calcPr calcId="171027" fullCalcOnLoad="1"/>
</workbook>
</file>

<file path=xl/sharedStrings.xml><?xml version="1.0" encoding="utf-8"?>
<sst xmlns="http://schemas.openxmlformats.org/spreadsheetml/2006/main" count="64" uniqueCount="64">
  <si>
    <t>Mode d’emploi</t>
  </si>
  <si>
    <t>Modèle proposé par GrowCom, à adapter à votre agence.</t>
  </si>
  <si>
    <t>1. Renseignez la grille</t>
  </si>
  <si>
    <t>Dans l’onglet « Grille », indiquez vos paliers (seuil de CA HT et taux), le mode de calcul et si vos honoraires sont saisis TTC ou HT.</t>
  </si>
  <si>
    <t>2. Saisissez les ventes</t>
  </si>
  <si>
    <t>Dans l’onglet « Ventes », une ligne par vente, dans l’ordre chronologique. La commission se calcule toute seule, palier par palier.</t>
  </si>
  <si>
    <t>Les lignes « Exemple » peuvent être effacées (colonnes vertes uniquement).</t>
  </si>
  <si>
    <t>3. Les trois modes de calcul des paliers</t>
  </si>
  <si>
    <t>Par tranche : chaque tranche de CA est payée à son propre taux (comme le barème de l’impôt).</t>
  </si>
  <si>
    <t>Au taux atteint : toute la vente est payée au taux du palier atteint après cette vente, sans effet rétroactif.</t>
  </si>
  <si>
    <t>Au taux atteint rétroactif : en franchissant un palier, tout le CA de la période passe au nouveau taux ; la vente déclenche un rattrapage.</t>
  </si>
  <si>
    <t>4. Ce que votre grille doit préciser pour éviter les litiges</t>
  </si>
  <si>
    <t>La base de calcul (honoraires HT ou TTC, encaissés ou facturés), le mode de calcul des paliers, la période de référence et la remise à zéro,</t>
  </si>
  <si>
    <t>le partage des ventes à plusieurs, et le fait générateur (signature de l’acte ou encaissement des honoraires).</t>
  </si>
  <si>
    <t>Aller plus loin</t>
  </si>
  <si>
    <t>Simulateur gratuit : https://growcom.fr/simulateur-commission-negociateur-immobilier</t>
  </si>
  <si>
    <t>GrowCom automatise ce calcul pour toute votre équipe, avec le détail de chaque commission pour chaque négociateur : https://growcom.fr</t>
  </si>
  <si>
    <t>Document indicatif, à adapter à votre situation ; il ne constitue pas un conseil juridique.</t>
  </si>
  <si>
    <t>Grille de commissionnement</t>
  </si>
  <si>
    <t>Remplissez les cellules vertes. Le calcul se fait dans l’onglet « Ventes ».</t>
  </si>
  <si>
    <t>Négociateur</t>
  </si>
  <si>
    <t>Prénom Nom</t>
  </si>
  <si>
    <t>Statut</t>
  </si>
  <si>
    <t>Agent commercial / mandataire</t>
  </si>
  <si>
    <t>Période de référence</t>
  </si>
  <si>
    <t>Année civile 2026</t>
  </si>
  <si>
    <t>Honoraires saisis dans l’onglet « Ventes »</t>
  </si>
  <si>
    <t>TTC</t>
  </si>
  <si>
    <t>Taux de TVA</t>
  </si>
  <si>
    <t>Mode de calcul des paliers</t>
  </si>
  <si>
    <t>Par tranche</t>
  </si>
  <si>
    <t>CA HT déjà réalisé avant la première vente du tableau</t>
  </si>
  <si>
    <t>Paliers (CA HT cumulé sur la période)</t>
  </si>
  <si>
    <t>Un palier par ligne, du plus petit seuil au plus grand. Chaque palier s’arrête où commence le suivant.</t>
  </si>
  <si>
    <t>Palier</t>
  </si>
  <si>
    <t>À partir de (CA HT)</t>
  </si>
  <si>
    <t>Taux</t>
  </si>
  <si>
    <t>Jusqu’à</t>
  </si>
  <si>
    <t>Écart de taux*</t>
  </si>
  <si>
    <t>Palier 1</t>
  </si>
  <si>
    <t>Palier 2</t>
  </si>
  <si>
    <t>Palier 3</t>
  </si>
  <si>
    <t>Palier 4</t>
  </si>
  <si>
    <t>Palier 5</t>
  </si>
  <si>
    <t>Palier 6</t>
  </si>
  <si>
    <t>* Colonne de calcul, ne pas modifier.</t>
  </si>
  <si>
    <t>Ventes et commissions</t>
  </si>
  <si>
    <t>Une ligne par vente, dans l’ordre chronologique. Dupliquez l’onglet pour chaque négociateur.</t>
  </si>
  <si>
    <t>Totaux</t>
  </si>
  <si>
    <t>Date</t>
  </si>
  <si>
    <t>Bien / référence</t>
  </si>
  <si>
    <t>Honoraires saisis</t>
  </si>
  <si>
    <t>Honoraires HT</t>
  </si>
  <si>
    <t>CA HT cumulé avant</t>
  </si>
  <si>
    <t>CA HT cumulé après</t>
  </si>
  <si>
    <t>Taux atteint</t>
  </si>
  <si>
    <t>Commission de la vente</t>
  </si>
  <si>
    <t>Part du négociateur</t>
  </si>
  <si>
    <t>Commission à verser</t>
  </si>
  <si>
    <t>Exemple - Maison, 4 pièces</t>
  </si>
  <si>
    <t>Exemple - Appartement T2</t>
  </si>
  <si>
    <t>Exemple - Appartement T3</t>
  </si>
  <si>
    <t>Exemple - Terrain</t>
  </si>
  <si>
    <t>Colonnes grises : calculées automatiquement. « Part du négociateur » : 100 % s’il a réalisé la vente seul, sinon sa part (ex. 50 % pour un partage mandat / vente).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</si>
</sst>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#,##0 [$€-40C]"/>
    <numFmt numFmtId="166" formatCode="#,##0.00 [$€-40C]"/>
    <numFmt numFmtId="167" formatCode="dd/mm/yyyy"/>
  </numFmts>
  <fonts count="12" x14ac:knownFonts="1">
    <font>
      <color theme="1"/>
      <family val="2"/>
      <scheme val="minor"/>
      <sz val="11"/>
      <name val="Calibri"/>
    </font>
    <font>
      <color rgb="FF17161C"/>
      <sz val="18"/>
      <name val="Georgia"/>
    </font>
    <font>
      <color rgb="FF625F6B"/>
      <sz val="10"/>
      <name val="Arial"/>
    </font>
    <font>
      <color rgb="FF17161C"/>
      <sz val="12.5"/>
      <name val="Georgia"/>
    </font>
    <font>
      <color rgb="FF3B3A44"/>
      <sz val="10"/>
      <name val="Arial"/>
    </font>
    <font>
      <color rgb="FF17161C"/>
      <sz val="10"/>
      <name val="Arial"/>
    </font>
    <font>
      <color rgb="FF17161C"/>
      <sz val="13"/>
      <name val="Georgia"/>
    </font>
    <font>
      <i/>
      <color rgb="FF625F6B"/>
      <sz val="9"/>
      <name val="Arial"/>
    </font>
    <font>
      <b/>
      <color rgb="FFFFFFFF"/>
      <sz val="9.5"/>
      <name val="Arial"/>
    </font>
    <font>
      <color rgb="FF625F6B"/>
      <sz val="9"/>
      <name val="Arial"/>
    </font>
    <font>
      <i/>
      <color rgb="FF625F6B"/>
      <sz val="8.5"/>
      <name val="Arial"/>
    </font>
    <font>
      <b/>
      <color rgb="FF17161C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EF6CF"/>
      </patternFill>
    </fill>
    <fill>
      <patternFill patternType="solid">
        <fgColor rgb="FF17161C"/>
      </patternFill>
    </fill>
  </fills>
  <borders count="3">
    <border>
      <left/>
      <right/>
      <top/>
      <bottom/>
      <diagonal/>
    </border>
    <border>
      <left style="thin">
        <color rgb="FFB9CF6A"/>
      </left>
      <right style="thin">
        <color rgb="FFB9CF6A"/>
      </right>
      <top style="thin">
        <color rgb="FFB9CF6A"/>
      </top>
      <bottom style="thin">
        <color rgb="FFB9CF6A"/>
      </bottom>
      <diagonal/>
    </border>
    <border>
      <left/>
      <right/>
      <top/>
      <bottom style="hair">
        <color rgb="FFE0D8C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2" borderId="1" xfId="0" applyFont="1" applyFill="1" applyBorder="1"/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horizontal="left" vertical="center" wrapText="1"/>
    </xf>
    <xf numFmtId="165" fontId="4" fillId="0" borderId="2" xfId="0" applyNumberFormat="1" applyFont="1" applyBorder="1"/>
    <xf numFmtId="164" fontId="9" fillId="0" borderId="2" xfId="0" applyNumberFormat="1" applyFont="1" applyBorder="1"/>
    <xf numFmtId="0" fontId="10" fillId="0" borderId="0" xfId="0" applyFont="1"/>
    <xf numFmtId="0" fontId="11" fillId="0" borderId="0" xfId="0" applyFont="1"/>
    <xf numFmtId="166" fontId="11" fillId="0" borderId="0" xfId="0" applyNumberFormat="1" applyFont="1"/>
    <xf numFmtId="167" fontId="5" fillId="2" borderId="1" xfId="0" applyNumberFormat="1" applyFont="1" applyFill="1" applyBorder="1"/>
    <xf numFmtId="166" fontId="5" fillId="2" borderId="1" xfId="0" applyNumberFormat="1" applyFont="1" applyFill="1" applyBorder="1"/>
    <xf numFmtId="166" fontId="4" fillId="0" borderId="2" xfId="0" applyNumberFormat="1" applyFont="1" applyBorder="1"/>
    <xf numFmtId="164" fontId="4" fillId="0" borderId="2" xfId="0" applyNumberFormat="1" applyFont="1" applyBorder="1"/>
    <xf numFmtId="9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ht="30" customHeight="1" spans="1:1" x14ac:dyDescent="0.25">
      <c r="A1" s="1" t="s">
        <v>0</v>
      </c>
    </row>
    <row r="2" spans="1:1" x14ac:dyDescent="0.25">
      <c r="A2" s="2" t="s">
        <v>1</v>
      </c>
    </row>
    <row r="4" ht="24" customHeight="1" spans="1:1" x14ac:dyDescent="0.25">
      <c r="A4" s="3" t="s">
        <v>2</v>
      </c>
    </row>
    <row r="5" spans="1:1" x14ac:dyDescent="0.25">
      <c r="A5" s="4" t="s">
        <v>3</v>
      </c>
    </row>
    <row r="6" ht="24" customHeight="1" spans="1:1" x14ac:dyDescent="0.25">
      <c r="A6" s="3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ht="24" customHeight="1" spans="1:1" x14ac:dyDescent="0.25">
      <c r="A9" s="3" t="s">
        <v>7</v>
      </c>
    </row>
    <row r="10" spans="1:1" x14ac:dyDescent="0.25">
      <c r="A10" s="4" t="s">
        <v>8</v>
      </c>
    </row>
    <row r="11" spans="1:1" x14ac:dyDescent="0.25">
      <c r="A11" s="4" t="s">
        <v>9</v>
      </c>
    </row>
    <row r="12" spans="1:1" x14ac:dyDescent="0.25">
      <c r="A12" s="4" t="s">
        <v>10</v>
      </c>
    </row>
    <row r="13" ht="24" customHeight="1" spans="1:1" x14ac:dyDescent="0.25">
      <c r="A13" s="3" t="s">
        <v>11</v>
      </c>
    </row>
    <row r="14" spans="1:1" x14ac:dyDescent="0.25">
      <c r="A14" s="4" t="s">
        <v>12</v>
      </c>
    </row>
    <row r="15" spans="1:1" x14ac:dyDescent="0.25">
      <c r="A15" s="4" t="s">
        <v>13</v>
      </c>
    </row>
    <row r="16" ht="24" customHeight="1" spans="1:1" x14ac:dyDescent="0.25">
      <c r="A16" s="3" t="s">
        <v>14</v>
      </c>
    </row>
    <row r="17" spans="1:1" x14ac:dyDescent="0.25">
      <c r="A17" s="4" t="s">
        <v>15</v>
      </c>
    </row>
    <row r="18" spans="1:1" x14ac:dyDescent="0.25">
      <c r="A18" s="4" t="s">
        <v>16</v>
      </c>
    </row>
    <row r="19" spans="1:1" x14ac:dyDescent="0.25">
      <c r="A19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161C"/>
  </sheetPr>
  <dimension ref="A1:E22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24" customWidth="1"/>
    <col min="3" max="3" width="14" customWidth="1"/>
    <col min="4" max="4" width="22" customWidth="1"/>
    <col min="5" max="5" width="16" customWidth="1"/>
  </cols>
  <sheetData>
    <row r="1" ht="30" customHeight="1" spans="1:1" x14ac:dyDescent="0.25">
      <c r="A1" s="1" t="s">
        <v>18</v>
      </c>
    </row>
    <row r="2" spans="1:1" x14ac:dyDescent="0.25">
      <c r="A2" s="2" t="s">
        <v>19</v>
      </c>
    </row>
    <row r="4" spans="1:2" x14ac:dyDescent="0.25">
      <c r="A4" s="5" t="s">
        <v>20</v>
      </c>
      <c r="B4" s="6" t="s">
        <v>21</v>
      </c>
    </row>
    <row r="5" spans="1:2" x14ac:dyDescent="0.25">
      <c r="A5" s="5" t="s">
        <v>22</v>
      </c>
      <c r="B5" s="6" t="s">
        <v>23</v>
      </c>
    </row>
    <row r="6" spans="1:2" x14ac:dyDescent="0.25">
      <c r="A6" s="5" t="s">
        <v>24</v>
      </c>
      <c r="B6" s="6" t="s">
        <v>25</v>
      </c>
    </row>
    <row r="7" spans="1:2" x14ac:dyDescent="0.25">
      <c r="A7" s="5" t="s">
        <v>26</v>
      </c>
      <c r="B7" s="6" t="s">
        <v>27</v>
      </c>
    </row>
    <row r="8" spans="1:2" x14ac:dyDescent="0.25">
      <c r="A8" s="5" t="s">
        <v>28</v>
      </c>
      <c r="B8" s="7">
        <v>0.2</v>
      </c>
    </row>
    <row r="9" spans="1:2" x14ac:dyDescent="0.25">
      <c r="A9" s="5" t="s">
        <v>29</v>
      </c>
      <c r="B9" s="6" t="s">
        <v>30</v>
      </c>
    </row>
    <row r="10" spans="1:2" x14ac:dyDescent="0.25">
      <c r="A10" s="5" t="s">
        <v>31</v>
      </c>
      <c r="B10" s="8">
        <v>0</v>
      </c>
    </row>
    <row r="12" spans="1:1" x14ac:dyDescent="0.25">
      <c r="A12" s="9" t="s">
        <v>32</v>
      </c>
    </row>
    <row r="13" spans="1:1" x14ac:dyDescent="0.25">
      <c r="A13" s="10" t="s">
        <v>33</v>
      </c>
    </row>
    <row r="14" ht="20" customHeight="1" spans="1:5" x14ac:dyDescent="0.25">
      <c r="A14" s="11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</row>
    <row r="15" spans="1:5" x14ac:dyDescent="0.25">
      <c r="A15" s="2" t="s">
        <v>39</v>
      </c>
      <c r="B15" s="8">
        <v>0</v>
      </c>
      <c r="C15" s="7">
        <v>0.3</v>
      </c>
      <c r="D15" s="12">
        <f>IF(B15="","",IF(B16="","et au-delà",B16))</f>
        <v>40000</v>
      </c>
      <c r="E15" s="13">
        <f>IF(B15="",0,C15)</f>
        <v>0.3</v>
      </c>
    </row>
    <row r="16" spans="1:5" x14ac:dyDescent="0.25">
      <c r="A16" s="2" t="s">
        <v>40</v>
      </c>
      <c r="B16" s="8">
        <v>40000</v>
      </c>
      <c r="C16" s="7">
        <v>0.35</v>
      </c>
      <c r="D16" s="12">
        <f>IF(B16="","",IF(B17="","et au-delà",B17))</f>
        <v>60000</v>
      </c>
      <c r="E16" s="13">
        <f>IF(B16="",0,C16-C15)</f>
        <v>0.04999999999999999</v>
      </c>
    </row>
    <row r="17" spans="1:5" x14ac:dyDescent="0.25">
      <c r="A17" s="2" t="s">
        <v>41</v>
      </c>
      <c r="B17" s="8">
        <v>60000</v>
      </c>
      <c r="C17" s="7">
        <v>0.4</v>
      </c>
      <c r="D17" s="12" t="str">
        <f>IF(B17="","",IF(B18="","et au-delà",B18))</f>
        <v>et au-delà</v>
      </c>
      <c r="E17" s="13">
        <f>IF(B17="",0,C17-C16)</f>
        <v>0.050000000000000044</v>
      </c>
    </row>
    <row r="18" spans="1:5" x14ac:dyDescent="0.25">
      <c r="A18" s="2" t="s">
        <v>42</v>
      </c>
      <c r="B18" s="8"/>
      <c r="C18" s="7"/>
      <c r="D18" s="12" t="str">
        <f>IF(B18="","",IF(B19="","et au-delà",B19))</f>
        <v/>
      </c>
      <c r="E18" s="13">
        <f>IF(B18="",0,C18-C17)</f>
        <v>0</v>
      </c>
    </row>
    <row r="19" spans="1:5" x14ac:dyDescent="0.25">
      <c r="A19" s="2" t="s">
        <v>43</v>
      </c>
      <c r="B19" s="8"/>
      <c r="C19" s="7"/>
      <c r="D19" s="12" t="str">
        <f>IF(B19="","",IF(B20="","et au-delà",B20))</f>
        <v/>
      </c>
      <c r="E19" s="13">
        <f>IF(B19="",0,C19-C18)</f>
        <v>0</v>
      </c>
    </row>
    <row r="20" spans="1:5" x14ac:dyDescent="0.25">
      <c r="A20" s="2" t="s">
        <v>44</v>
      </c>
      <c r="B20" s="8"/>
      <c r="C20" s="7"/>
      <c r="D20" s="12" t="str">
        <f>IF(B20="","","et au-delà")</f>
        <v/>
      </c>
      <c r="E20" s="13">
        <f>IF(B20="",0,C20-C19)</f>
        <v>0</v>
      </c>
    </row>
    <row r="22" spans="1:1" x14ac:dyDescent="0.25">
      <c r="A22" s="14" t="s">
        <v>45</v>
      </c>
    </row>
  </sheetData>
  <dataValidations count="8">
    <dataValidation type="custom" allowBlank="1" showErrorMessage="1" errorTitle="Seuil à vérifier" error="Chaque seuil doit être supérieur au précédent." sqref="B16">
      <formula1>OR(B16="",B16&gt;B15)</formula1>
    </dataValidation>
    <dataValidation type="custom" allowBlank="1" showErrorMessage="1" errorTitle="Seuil à vérifier" error="Chaque seuil doit être supérieur au précédent." sqref="B17">
      <formula1>OR(B17="",B17&gt;B16)</formula1>
    </dataValidation>
    <dataValidation type="custom" allowBlank="1" showErrorMessage="1" errorTitle="Seuil à vérifier" error="Chaque seuil doit être supérieur au précédent." sqref="B18">
      <formula1>OR(B18="",B18&gt;B17)</formula1>
    </dataValidation>
    <dataValidation type="custom" allowBlank="1" showErrorMessage="1" errorTitle="Seuil à vérifier" error="Chaque seuil doit être supérieur au précédent." sqref="B19">
      <formula1>OR(B19="",B19&gt;B18)</formula1>
    </dataValidation>
    <dataValidation type="custom" allowBlank="1" showErrorMessage="1" errorTitle="Seuil à vérifier" error="Chaque seuil doit être supérieur au précédent." sqref="B20">
      <formula1>OR(B20="",B20&gt;B19)</formula1>
    </dataValidation>
    <dataValidation type="list" showErrorMessage="1" errorTitle="Valeur non prévue" error="Choisissez : Agent commercial / mandataire / Salarié (VRP)" sqref="B5">
      <formula1>"Agent commercial / mandataire,Salarié (VRP)"</formula1>
    </dataValidation>
    <dataValidation type="list" showErrorMessage="1" errorTitle="Valeur non prévue" error="Choisissez : TTC / HT" sqref="B7">
      <formula1>"TTC,HT"</formula1>
    </dataValidation>
    <dataValidation type="list" showErrorMessage="1" errorTitle="Valeur non prévue" error="Choisissez : Par tranche / Au taux atteint / Au taux atteint rétroactif" sqref="B9">
      <formula1>"Par tranche,Au taux atteint,Au taux atteint rétroactif"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E45C"/>
  </sheetPr>
  <dimension ref="A1:J10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16" customWidth="1"/>
    <col min="4" max="4" width="15" customWidth="1"/>
    <col min="5" max="6" width="17" customWidth="1"/>
    <col min="7" max="7" width="13" customWidth="1"/>
    <col min="8" max="8" width="17" customWidth="1"/>
    <col min="9" max="9" width="13" customWidth="1"/>
    <col min="10" max="10" width="17" customWidth="1"/>
  </cols>
  <sheetData>
    <row r="1" ht="30" customHeight="1" spans="1:1" x14ac:dyDescent="0.25">
      <c r="A1" s="1" t="s">
        <v>46</v>
      </c>
    </row>
    <row r="2" spans="1:1" x14ac:dyDescent="0.25">
      <c r="A2" s="2" t="s">
        <v>47</v>
      </c>
    </row>
    <row r="3" spans="1:10" x14ac:dyDescent="0.25">
      <c r="A3" s="15" t="s">
        <v>48</v>
      </c>
      <c r="D3" s="16">
        <f>SUM(D6:D105)</f>
      </c>
      <c r="H3" s="16">
        <f>SUM(H6:H105)</f>
      </c>
      <c r="J3" s="16">
        <f>SUM(J6:J105)</f>
      </c>
    </row>
    <row r="5" ht="30" customHeight="1" spans="1:10" x14ac:dyDescent="0.25">
      <c r="A5" s="11" t="s">
        <v>49</v>
      </c>
      <c r="B5" s="11" t="s">
        <v>50</v>
      </c>
      <c r="C5" s="11" t="s">
        <v>51</v>
      </c>
      <c r="D5" s="11" t="s">
        <v>52</v>
      </c>
      <c r="E5" s="11" t="s">
        <v>53</v>
      </c>
      <c r="F5" s="11" t="s">
        <v>54</v>
      </c>
      <c r="G5" s="11" t="s">
        <v>55</v>
      </c>
      <c r="H5" s="11" t="s">
        <v>56</v>
      </c>
      <c r="I5" s="11" t="s">
        <v>57</v>
      </c>
      <c r="J5" s="11" t="s">
        <v>58</v>
      </c>
    </row>
    <row r="6" spans="1:10" x14ac:dyDescent="0.25">
      <c r="A6" s="17">
        <v>46045</v>
      </c>
      <c r="B6" s="6" t="s">
        <v>59</v>
      </c>
      <c r="C6" s="18">
        <v>18000</v>
      </c>
      <c r="D6" s="19">
        <f>IF(C6="","",ROUND(C6/IF(SaisieHonoraires="TTC",1+TauxTVA,1),2))</f>
        <v>15000</v>
      </c>
      <c r="E6" s="19">
        <f>IF(C6="","",CAInitial+SUM(D$5:D5))</f>
        <v>0</v>
      </c>
      <c r="F6" s="19">
        <f>IF(C6="","",E6+D6)</f>
        <v>15000</v>
      </c>
      <c r="G6" s="20">
        <f>IF(C6="","",SUMPRODUCT((F6&gt;=Seuils)*Ecarts))</f>
        <v>0.3</v>
      </c>
      <c r="H6" s="19">
        <f>IF(C6="","",CHOOSE(MATCH(ModePaliers,{"Par tranche","Au taux atteint","Au taux atteint rétroactif"},0),ROUND(SUMPRODUCT((F6&gt;Seuils)*(F6-Seuils)*Ecarts)-SUMPRODUCT((E6&gt;Seuils)*(E6-Seuils)*Ecarts),2),ROUND(D6*SUMPRODUCT((F6&gt;=Seuils)*Ecarts),2),ROUND(D6*SUMPRODUCT((F6&gt;=Seuils)*Ecarts),2)+ROUND(E6*(SUMPRODUCT((F6&gt;=Seuils)*Ecarts)-SUMPRODUCT((E6&gt;=Seuils)*Ecarts)),2)))</f>
        <v>4500</v>
      </c>
      <c r="I6" s="21">
        <v>1</v>
      </c>
      <c r="J6" s="19">
        <f>IF(C6="","",ROUND(H6*IF(I6="",1,I6),2))</f>
        <v>4500</v>
      </c>
    </row>
    <row r="7" spans="1:10" x14ac:dyDescent="0.25">
      <c r="A7" s="17">
        <v>46092</v>
      </c>
      <c r="B7" s="6" t="s">
        <v>60</v>
      </c>
      <c r="C7" s="18">
        <v>9600</v>
      </c>
      <c r="D7" s="19">
        <f>IF(C7="","",ROUND(C7/IF(SaisieHonoraires="TTC",1+TauxTVA,1),2))</f>
        <v>8000</v>
      </c>
      <c r="E7" s="19">
        <f>IF(C7="","",CAInitial+SUM(D$5:D6))</f>
        <v>15000</v>
      </c>
      <c r="F7" s="19">
        <f>IF(C7="","",E7+D7)</f>
        <v>23000</v>
      </c>
      <c r="G7" s="20">
        <f>IF(C7="","",SUMPRODUCT((F7&gt;=Seuils)*Ecarts))</f>
        <v>0.3</v>
      </c>
      <c r="H7" s="19">
        <f>IF(C7="","",CHOOSE(MATCH(ModePaliers,{"Par tranche","Au taux atteint","Au taux atteint rétroactif"},0),ROUND(SUMPRODUCT((F7&gt;Seuils)*(F7-Seuils)*Ecarts)-SUMPRODUCT((E7&gt;Seuils)*(E7-Seuils)*Ecarts),2),ROUND(D7*SUMPRODUCT((F7&gt;=Seuils)*Ecarts),2),ROUND(D7*SUMPRODUCT((F7&gt;=Seuils)*Ecarts),2)+ROUND(E7*(SUMPRODUCT((F7&gt;=Seuils)*Ecarts)-SUMPRODUCT((E7&gt;=Seuils)*Ecarts)),2)))</f>
        <v>2400</v>
      </c>
      <c r="I7" s="21">
        <v>1</v>
      </c>
      <c r="J7" s="19">
        <f>IF(C7="","",ROUND(H7*IF(I7="",1,I7),2))</f>
        <v>2400</v>
      </c>
    </row>
    <row r="8" spans="1:10" x14ac:dyDescent="0.25">
      <c r="A8" s="17">
        <v>46148</v>
      </c>
      <c r="B8" s="6" t="s">
        <v>61</v>
      </c>
      <c r="C8" s="18">
        <v>14250</v>
      </c>
      <c r="D8" s="19">
        <f>IF(C8="","",ROUND(C8/IF(SaisieHonoraires="TTC",1+TauxTVA,1),2))</f>
        <v>11875</v>
      </c>
      <c r="E8" s="19">
        <f>IF(C8="","",CAInitial+SUM(D$5:D7))</f>
        <v>23000</v>
      </c>
      <c r="F8" s="19">
        <f>IF(C8="","",E8+D8)</f>
        <v>34875</v>
      </c>
      <c r="G8" s="20">
        <f>IF(C8="","",SUMPRODUCT((F8&gt;=Seuils)*Ecarts))</f>
        <v>0.3</v>
      </c>
      <c r="H8" s="19">
        <f>IF(C8="","",CHOOSE(MATCH(ModePaliers,{"Par tranche","Au taux atteint","Au taux atteint rétroactif"},0),ROUND(SUMPRODUCT((F8&gt;Seuils)*(F8-Seuils)*Ecarts)-SUMPRODUCT((E8&gt;Seuils)*(E8-Seuils)*Ecarts),2),ROUND(D8*SUMPRODUCT((F8&gt;=Seuils)*Ecarts),2),ROUND(D8*SUMPRODUCT((F8&gt;=Seuils)*Ecarts),2)+ROUND(E8*(SUMPRODUCT((F8&gt;=Seuils)*Ecarts)-SUMPRODUCT((E8&gt;=Seuils)*Ecarts)),2)))</f>
        <v>3562.5</v>
      </c>
      <c r="I8" s="21">
        <v>1</v>
      </c>
      <c r="J8" s="19">
        <f>IF(C8="","",ROUND(H8*IF(I8="",1,I8),2))</f>
        <v>3562.5</v>
      </c>
    </row>
    <row r="9" spans="1:10" x14ac:dyDescent="0.25">
      <c r="A9" s="17">
        <v>46192</v>
      </c>
      <c r="B9" s="6" t="s">
        <v>62</v>
      </c>
      <c r="C9" s="18">
        <v>7200</v>
      </c>
      <c r="D9" s="19">
        <f>IF(C9="","",ROUND(C9/IF(SaisieHonoraires="TTC",1+TauxTVA,1),2))</f>
        <v>6000</v>
      </c>
      <c r="E9" s="19">
        <f>IF(C9="","",CAInitial+SUM(D$5:D8))</f>
        <v>34875</v>
      </c>
      <c r="F9" s="19">
        <f>IF(C9="","",E9+D9)</f>
        <v>40875</v>
      </c>
      <c r="G9" s="20">
        <f>IF(C9="","",SUMPRODUCT((F9&gt;=Seuils)*Ecarts))</f>
        <v>0.35</v>
      </c>
      <c r="H9" s="19">
        <f>IF(C9="","",CHOOSE(MATCH(ModePaliers,{"Par tranche","Au taux atteint","Au taux atteint rétroactif"},0),ROUND(SUMPRODUCT((F9&gt;Seuils)*(F9-Seuils)*Ecarts)-SUMPRODUCT((E9&gt;Seuils)*(E9-Seuils)*Ecarts),2),ROUND(D9*SUMPRODUCT((F9&gt;=Seuils)*Ecarts),2),ROUND(D9*SUMPRODUCT((F9&gt;=Seuils)*Ecarts),2)+ROUND(E9*(SUMPRODUCT((F9&gt;=Seuils)*Ecarts)-SUMPRODUCT((E9&gt;=Seuils)*Ecarts)),2)))</f>
        <v>1843.75</v>
      </c>
      <c r="I9" s="21">
        <v>1</v>
      </c>
      <c r="J9" s="19">
        <f>IF(C9="","",ROUND(H9*IF(I9="",1,I9),2))</f>
        <v>1843.75</v>
      </c>
    </row>
    <row r="10" spans="1:10" x14ac:dyDescent="0.25">
      <c r="A10" s="17"/>
      <c r="B10" s="6"/>
      <c r="C10" s="18"/>
      <c r="D10" s="19" t="str">
        <f>IF(C10="","",ROUND(C10/IF(SaisieHonoraires="TTC",1+TauxTVA,1),2))</f>
        <v/>
      </c>
      <c r="E10" s="19" t="str">
        <f>IF(C10="","",CAInitial+SUM(D$5:D9))</f>
        <v/>
      </c>
      <c r="F10" s="19" t="str">
        <f>IF(C10="","",E10+D10)</f>
        <v/>
      </c>
      <c r="G10" s="20" t="str">
        <f>IF(C10="","",SUMPRODUCT((F10&gt;=Seuils)*Ecarts))</f>
        <v/>
      </c>
      <c r="H10" s="19" t="str">
        <f>IF(C10="","",CHOOSE(MATCH(ModePaliers,{"Par tranche","Au taux atteint","Au taux atteint rétroactif"},0),ROUND(SUMPRODUCT((F10&gt;Seuils)*(F10-Seuils)*Ecarts)-SUMPRODUCT((E10&gt;Seuils)*(E10-Seuils)*Ecarts),2),ROUND(D10*SUMPRODUCT((F10&gt;=Seuils)*Ecarts),2),ROUND(D10*SUMPRODUCT((F10&gt;=Seuils)*Ecarts),2)+ROUND(E10*(SUMPRODUCT((F10&gt;=Seuils)*Ecarts)-SUMPRODUCT((E10&gt;=Seuils)*Ecarts)),2)))</f>
        <v/>
      </c>
      <c r="I10" s="21"/>
      <c r="J10" s="19" t="str">
        <f>IF(C10="","",ROUND(H10*IF(I10="",1,I10),2))</f>
        <v/>
      </c>
    </row>
    <row r="11" spans="1:10" x14ac:dyDescent="0.25">
      <c r="A11" s="17"/>
      <c r="B11" s="6"/>
      <c r="C11" s="18"/>
      <c r="D11" s="19" t="str">
        <f>IF(C11="","",ROUND(C11/IF(SaisieHonoraires="TTC",1+TauxTVA,1),2))</f>
        <v/>
      </c>
      <c r="E11" s="19" t="str">
        <f>IF(C11="","",CAInitial+SUM(D$5:D10))</f>
        <v/>
      </c>
      <c r="F11" s="19" t="str">
        <f>IF(C11="","",E11+D11)</f>
        <v/>
      </c>
      <c r="G11" s="20" t="str">
        <f>IF(C11="","",SUMPRODUCT((F11&gt;=Seuils)*Ecarts))</f>
        <v/>
      </c>
      <c r="H11" s="19" t="str">
        <f>IF(C11="","",CHOOSE(MATCH(ModePaliers,{"Par tranche","Au taux atteint","Au taux atteint rétroactif"},0),ROUND(SUMPRODUCT((F11&gt;Seuils)*(F11-Seuils)*Ecarts)-SUMPRODUCT((E11&gt;Seuils)*(E11-Seuils)*Ecarts),2),ROUND(D11*SUMPRODUCT((F11&gt;=Seuils)*Ecarts),2),ROUND(D11*SUMPRODUCT((F11&gt;=Seuils)*Ecarts),2)+ROUND(E11*(SUMPRODUCT((F11&gt;=Seuils)*Ecarts)-SUMPRODUCT((E11&gt;=Seuils)*Ecarts)),2)))</f>
        <v/>
      </c>
      <c r="I11" s="21"/>
      <c r="J11" s="19" t="str">
        <f>IF(C11="","",ROUND(H11*IF(I11="",1,I11),2))</f>
        <v/>
      </c>
    </row>
    <row r="12" spans="1:10" x14ac:dyDescent="0.25">
      <c r="A12" s="17"/>
      <c r="B12" s="6"/>
      <c r="C12" s="18"/>
      <c r="D12" s="19" t="str">
        <f>IF(C12="","",ROUND(C12/IF(SaisieHonoraires="TTC",1+TauxTVA,1),2))</f>
        <v/>
      </c>
      <c r="E12" s="19" t="str">
        <f>IF(C12="","",CAInitial+SUM(D$5:D11))</f>
        <v/>
      </c>
      <c r="F12" s="19" t="str">
        <f>IF(C12="","",E12+D12)</f>
        <v/>
      </c>
      <c r="G12" s="20" t="str">
        <f>IF(C12="","",SUMPRODUCT((F12&gt;=Seuils)*Ecarts))</f>
        <v/>
      </c>
      <c r="H12" s="19" t="str">
        <f>IF(C12="","",CHOOSE(MATCH(ModePaliers,{"Par tranche","Au taux atteint","Au taux atteint rétroactif"},0),ROUND(SUMPRODUCT((F12&gt;Seuils)*(F12-Seuils)*Ecarts)-SUMPRODUCT((E12&gt;Seuils)*(E12-Seuils)*Ecarts),2),ROUND(D12*SUMPRODUCT((F12&gt;=Seuils)*Ecarts),2),ROUND(D12*SUMPRODUCT((F12&gt;=Seuils)*Ecarts),2)+ROUND(E12*(SUMPRODUCT((F12&gt;=Seuils)*Ecarts)-SUMPRODUCT((E12&gt;=Seuils)*Ecarts)),2)))</f>
        <v/>
      </c>
      <c r="I12" s="21"/>
      <c r="J12" s="19" t="str">
        <f>IF(C12="","",ROUND(H12*IF(I12="",1,I12),2))</f>
        <v/>
      </c>
    </row>
    <row r="13" spans="1:10" x14ac:dyDescent="0.25">
      <c r="A13" s="17"/>
      <c r="B13" s="6"/>
      <c r="C13" s="18"/>
      <c r="D13" s="19" t="str">
        <f>IF(C13="","",ROUND(C13/IF(SaisieHonoraires="TTC",1+TauxTVA,1),2))</f>
        <v/>
      </c>
      <c r="E13" s="19" t="str">
        <f>IF(C13="","",CAInitial+SUM(D$5:D12))</f>
        <v/>
      </c>
      <c r="F13" s="19" t="str">
        <f>IF(C13="","",E13+D13)</f>
        <v/>
      </c>
      <c r="G13" s="20" t="str">
        <f>IF(C13="","",SUMPRODUCT((F13&gt;=Seuils)*Ecarts))</f>
        <v/>
      </c>
      <c r="H13" s="19" t="str">
        <f>IF(C13="","",CHOOSE(MATCH(ModePaliers,{"Par tranche","Au taux atteint","Au taux atteint rétroactif"},0),ROUND(SUMPRODUCT((F13&gt;Seuils)*(F13-Seuils)*Ecarts)-SUMPRODUCT((E13&gt;Seuils)*(E13-Seuils)*Ecarts),2),ROUND(D13*SUMPRODUCT((F13&gt;=Seuils)*Ecarts),2),ROUND(D13*SUMPRODUCT((F13&gt;=Seuils)*Ecarts),2)+ROUND(E13*(SUMPRODUCT((F13&gt;=Seuils)*Ecarts)-SUMPRODUCT((E13&gt;=Seuils)*Ecarts)),2)))</f>
        <v/>
      </c>
      <c r="I13" s="21"/>
      <c r="J13" s="19" t="str">
        <f>IF(C13="","",ROUND(H13*IF(I13="",1,I13),2))</f>
        <v/>
      </c>
    </row>
    <row r="14" spans="1:10" x14ac:dyDescent="0.25">
      <c r="A14" s="17"/>
      <c r="B14" s="6"/>
      <c r="C14" s="18"/>
      <c r="D14" s="19" t="str">
        <f>IF(C14="","",ROUND(C14/IF(SaisieHonoraires="TTC",1+TauxTVA,1),2))</f>
        <v/>
      </c>
      <c r="E14" s="19" t="str">
        <f>IF(C14="","",CAInitial+SUM(D$5:D13))</f>
        <v/>
      </c>
      <c r="F14" s="19" t="str">
        <f>IF(C14="","",E14+D14)</f>
        <v/>
      </c>
      <c r="G14" s="20" t="str">
        <f>IF(C14="","",SUMPRODUCT((F14&gt;=Seuils)*Ecarts))</f>
        <v/>
      </c>
      <c r="H14" s="19" t="str">
        <f>IF(C14="","",CHOOSE(MATCH(ModePaliers,{"Par tranche","Au taux atteint","Au taux atteint rétroactif"},0),ROUND(SUMPRODUCT((F14&gt;Seuils)*(F14-Seuils)*Ecarts)-SUMPRODUCT((E14&gt;Seuils)*(E14-Seuils)*Ecarts),2),ROUND(D14*SUMPRODUCT((F14&gt;=Seuils)*Ecarts),2),ROUND(D14*SUMPRODUCT((F14&gt;=Seuils)*Ecarts),2)+ROUND(E14*(SUMPRODUCT((F14&gt;=Seuils)*Ecarts)-SUMPRODUCT((E14&gt;=Seuils)*Ecarts)),2)))</f>
        <v/>
      </c>
      <c r="I14" s="21"/>
      <c r="J14" s="19" t="str">
        <f>IF(C14="","",ROUND(H14*IF(I14="",1,I14),2))</f>
        <v/>
      </c>
    </row>
    <row r="15" spans="1:10" x14ac:dyDescent="0.25">
      <c r="A15" s="17"/>
      <c r="B15" s="6"/>
      <c r="C15" s="18"/>
      <c r="D15" s="19" t="str">
        <f>IF(C15="","",ROUND(C15/IF(SaisieHonoraires="TTC",1+TauxTVA,1),2))</f>
        <v/>
      </c>
      <c r="E15" s="19" t="str">
        <f>IF(C15="","",CAInitial+SUM(D$5:D14))</f>
        <v/>
      </c>
      <c r="F15" s="19" t="str">
        <f>IF(C15="","",E15+D15)</f>
        <v/>
      </c>
      <c r="G15" s="20" t="str">
        <f>IF(C15="","",SUMPRODUCT((F15&gt;=Seuils)*Ecarts))</f>
        <v/>
      </c>
      <c r="H15" s="19" t="str">
        <f>IF(C15="","",CHOOSE(MATCH(ModePaliers,{"Par tranche","Au taux atteint","Au taux atteint rétroactif"},0),ROUND(SUMPRODUCT((F15&gt;Seuils)*(F15-Seuils)*Ecarts)-SUMPRODUCT((E15&gt;Seuils)*(E15-Seuils)*Ecarts),2),ROUND(D15*SUMPRODUCT((F15&gt;=Seuils)*Ecarts),2),ROUND(D15*SUMPRODUCT((F15&gt;=Seuils)*Ecarts),2)+ROUND(E15*(SUMPRODUCT((F15&gt;=Seuils)*Ecarts)-SUMPRODUCT((E15&gt;=Seuils)*Ecarts)),2)))</f>
        <v/>
      </c>
      <c r="I15" s="21"/>
      <c r="J15" s="19" t="str">
        <f>IF(C15="","",ROUND(H15*IF(I15="",1,I15),2))</f>
        <v/>
      </c>
    </row>
    <row r="16" spans="1:10" x14ac:dyDescent="0.25">
      <c r="A16" s="17"/>
      <c r="B16" s="6"/>
      <c r="C16" s="18"/>
      <c r="D16" s="19" t="str">
        <f>IF(C16="","",ROUND(C16/IF(SaisieHonoraires="TTC",1+TauxTVA,1),2))</f>
        <v/>
      </c>
      <c r="E16" s="19" t="str">
        <f>IF(C16="","",CAInitial+SUM(D$5:D15))</f>
        <v/>
      </c>
      <c r="F16" s="19" t="str">
        <f>IF(C16="","",E16+D16)</f>
        <v/>
      </c>
      <c r="G16" s="20" t="str">
        <f>IF(C16="","",SUMPRODUCT((F16&gt;=Seuils)*Ecarts))</f>
        <v/>
      </c>
      <c r="H16" s="19" t="str">
        <f>IF(C16="","",CHOOSE(MATCH(ModePaliers,{"Par tranche","Au taux atteint","Au taux atteint rétroactif"},0),ROUND(SUMPRODUCT((F16&gt;Seuils)*(F16-Seuils)*Ecarts)-SUMPRODUCT((E16&gt;Seuils)*(E16-Seuils)*Ecarts),2),ROUND(D16*SUMPRODUCT((F16&gt;=Seuils)*Ecarts),2),ROUND(D16*SUMPRODUCT((F16&gt;=Seuils)*Ecarts),2)+ROUND(E16*(SUMPRODUCT((F16&gt;=Seuils)*Ecarts)-SUMPRODUCT((E16&gt;=Seuils)*Ecarts)),2)))</f>
        <v/>
      </c>
      <c r="I16" s="21"/>
      <c r="J16" s="19" t="str">
        <f>IF(C16="","",ROUND(H16*IF(I16="",1,I16),2))</f>
        <v/>
      </c>
    </row>
    <row r="17" spans="1:10" x14ac:dyDescent="0.25">
      <c r="A17" s="17"/>
      <c r="B17" s="6"/>
      <c r="C17" s="18"/>
      <c r="D17" s="19" t="str">
        <f>IF(C17="","",ROUND(C17/IF(SaisieHonoraires="TTC",1+TauxTVA,1),2))</f>
        <v/>
      </c>
      <c r="E17" s="19" t="str">
        <f>IF(C17="","",CAInitial+SUM(D$5:D16))</f>
        <v/>
      </c>
      <c r="F17" s="19" t="str">
        <f>IF(C17="","",E17+D17)</f>
        <v/>
      </c>
      <c r="G17" s="20" t="str">
        <f>IF(C17="","",SUMPRODUCT((F17&gt;=Seuils)*Ecarts))</f>
        <v/>
      </c>
      <c r="H17" s="19" t="str">
        <f>IF(C17="","",CHOOSE(MATCH(ModePaliers,{"Par tranche","Au taux atteint","Au taux atteint rétroactif"},0),ROUND(SUMPRODUCT((F17&gt;Seuils)*(F17-Seuils)*Ecarts)-SUMPRODUCT((E17&gt;Seuils)*(E17-Seuils)*Ecarts),2),ROUND(D17*SUMPRODUCT((F17&gt;=Seuils)*Ecarts),2),ROUND(D17*SUMPRODUCT((F17&gt;=Seuils)*Ecarts),2)+ROUND(E17*(SUMPRODUCT((F17&gt;=Seuils)*Ecarts)-SUMPRODUCT((E17&gt;=Seuils)*Ecarts)),2)))</f>
        <v/>
      </c>
      <c r="I17" s="21"/>
      <c r="J17" s="19" t="str">
        <f>IF(C17="","",ROUND(H17*IF(I17="",1,I17),2))</f>
        <v/>
      </c>
    </row>
    <row r="18" spans="1:10" x14ac:dyDescent="0.25">
      <c r="A18" s="17"/>
      <c r="B18" s="6"/>
      <c r="C18" s="18"/>
      <c r="D18" s="19" t="str">
        <f>IF(C18="","",ROUND(C18/IF(SaisieHonoraires="TTC",1+TauxTVA,1),2))</f>
        <v/>
      </c>
      <c r="E18" s="19" t="str">
        <f>IF(C18="","",CAInitial+SUM(D$5:D17))</f>
        <v/>
      </c>
      <c r="F18" s="19" t="str">
        <f>IF(C18="","",E18+D18)</f>
        <v/>
      </c>
      <c r="G18" s="20" t="str">
        <f>IF(C18="","",SUMPRODUCT((F18&gt;=Seuils)*Ecarts))</f>
        <v/>
      </c>
      <c r="H18" s="19" t="str">
        <f>IF(C18="","",CHOOSE(MATCH(ModePaliers,{"Par tranche","Au taux atteint","Au taux atteint rétroactif"},0),ROUND(SUMPRODUCT((F18&gt;Seuils)*(F18-Seuils)*Ecarts)-SUMPRODUCT((E18&gt;Seuils)*(E18-Seuils)*Ecarts),2),ROUND(D18*SUMPRODUCT((F18&gt;=Seuils)*Ecarts),2),ROUND(D18*SUMPRODUCT((F18&gt;=Seuils)*Ecarts),2)+ROUND(E18*(SUMPRODUCT((F18&gt;=Seuils)*Ecarts)-SUMPRODUCT((E18&gt;=Seuils)*Ecarts)),2)))</f>
        <v/>
      </c>
      <c r="I18" s="21"/>
      <c r="J18" s="19" t="str">
        <f>IF(C18="","",ROUND(H18*IF(I18="",1,I18),2))</f>
        <v/>
      </c>
    </row>
    <row r="19" spans="1:10" x14ac:dyDescent="0.25">
      <c r="A19" s="17"/>
      <c r="B19" s="6"/>
      <c r="C19" s="18"/>
      <c r="D19" s="19" t="str">
        <f>IF(C19="","",ROUND(C19/IF(SaisieHonoraires="TTC",1+TauxTVA,1),2))</f>
        <v/>
      </c>
      <c r="E19" s="19" t="str">
        <f>IF(C19="","",CAInitial+SUM(D$5:D18))</f>
        <v/>
      </c>
      <c r="F19" s="19" t="str">
        <f>IF(C19="","",E19+D19)</f>
        <v/>
      </c>
      <c r="G19" s="20" t="str">
        <f>IF(C19="","",SUMPRODUCT((F19&gt;=Seuils)*Ecarts))</f>
        <v/>
      </c>
      <c r="H19" s="19" t="str">
        <f>IF(C19="","",CHOOSE(MATCH(ModePaliers,{"Par tranche","Au taux atteint","Au taux atteint rétroactif"},0),ROUND(SUMPRODUCT((F19&gt;Seuils)*(F19-Seuils)*Ecarts)-SUMPRODUCT((E19&gt;Seuils)*(E19-Seuils)*Ecarts),2),ROUND(D19*SUMPRODUCT((F19&gt;=Seuils)*Ecarts),2),ROUND(D19*SUMPRODUCT((F19&gt;=Seuils)*Ecarts),2)+ROUND(E19*(SUMPRODUCT((F19&gt;=Seuils)*Ecarts)-SUMPRODUCT((E19&gt;=Seuils)*Ecarts)),2)))</f>
        <v/>
      </c>
      <c r="I19" s="21"/>
      <c r="J19" s="19" t="str">
        <f>IF(C19="","",ROUND(H19*IF(I19="",1,I19),2))</f>
        <v/>
      </c>
    </row>
    <row r="20" spans="1:10" x14ac:dyDescent="0.25">
      <c r="A20" s="17"/>
      <c r="B20" s="6"/>
      <c r="C20" s="18"/>
      <c r="D20" s="19" t="str">
        <f>IF(C20="","",ROUND(C20/IF(SaisieHonoraires="TTC",1+TauxTVA,1),2))</f>
        <v/>
      </c>
      <c r="E20" s="19" t="str">
        <f>IF(C20="","",CAInitial+SUM(D$5:D19))</f>
        <v/>
      </c>
      <c r="F20" s="19" t="str">
        <f>IF(C20="","",E20+D20)</f>
        <v/>
      </c>
      <c r="G20" s="20" t="str">
        <f>IF(C20="","",SUMPRODUCT((F20&gt;=Seuils)*Ecarts))</f>
        <v/>
      </c>
      <c r="H20" s="19" t="str">
        <f>IF(C20="","",CHOOSE(MATCH(ModePaliers,{"Par tranche","Au taux atteint","Au taux atteint rétroactif"},0),ROUND(SUMPRODUCT((F20&gt;Seuils)*(F20-Seuils)*Ecarts)-SUMPRODUCT((E20&gt;Seuils)*(E20-Seuils)*Ecarts),2),ROUND(D20*SUMPRODUCT((F20&gt;=Seuils)*Ecarts),2),ROUND(D20*SUMPRODUCT((F20&gt;=Seuils)*Ecarts),2)+ROUND(E20*(SUMPRODUCT((F20&gt;=Seuils)*Ecarts)-SUMPRODUCT((E20&gt;=Seuils)*Ecarts)),2)))</f>
        <v/>
      </c>
      <c r="I20" s="21"/>
      <c r="J20" s="19" t="str">
        <f>IF(C20="","",ROUND(H20*IF(I20="",1,I20),2))</f>
        <v/>
      </c>
    </row>
    <row r="21" spans="1:10" x14ac:dyDescent="0.25">
      <c r="A21" s="17"/>
      <c r="B21" s="6"/>
      <c r="C21" s="18"/>
      <c r="D21" s="19" t="str">
        <f>IF(C21="","",ROUND(C21/IF(SaisieHonoraires="TTC",1+TauxTVA,1),2))</f>
        <v/>
      </c>
      <c r="E21" s="19" t="str">
        <f>IF(C21="","",CAInitial+SUM(D$5:D20))</f>
        <v/>
      </c>
      <c r="F21" s="19" t="str">
        <f>IF(C21="","",E21+D21)</f>
        <v/>
      </c>
      <c r="G21" s="20" t="str">
        <f>IF(C21="","",SUMPRODUCT((F21&gt;=Seuils)*Ecarts))</f>
        <v/>
      </c>
      <c r="H21" s="19" t="str">
        <f>IF(C21="","",CHOOSE(MATCH(ModePaliers,{"Par tranche","Au taux atteint","Au taux atteint rétroactif"},0),ROUND(SUMPRODUCT((F21&gt;Seuils)*(F21-Seuils)*Ecarts)-SUMPRODUCT((E21&gt;Seuils)*(E21-Seuils)*Ecarts),2),ROUND(D21*SUMPRODUCT((F21&gt;=Seuils)*Ecarts),2),ROUND(D21*SUMPRODUCT((F21&gt;=Seuils)*Ecarts),2)+ROUND(E21*(SUMPRODUCT((F21&gt;=Seuils)*Ecarts)-SUMPRODUCT((E21&gt;=Seuils)*Ecarts)),2)))</f>
        <v/>
      </c>
      <c r="I21" s="21"/>
      <c r="J21" s="19" t="str">
        <f>IF(C21="","",ROUND(H21*IF(I21="",1,I21),2))</f>
        <v/>
      </c>
    </row>
    <row r="22" spans="1:10" x14ac:dyDescent="0.25">
      <c r="A22" s="17"/>
      <c r="B22" s="6"/>
      <c r="C22" s="18"/>
      <c r="D22" s="19" t="str">
        <f>IF(C22="","",ROUND(C22/IF(SaisieHonoraires="TTC",1+TauxTVA,1),2))</f>
        <v/>
      </c>
      <c r="E22" s="19" t="str">
        <f>IF(C22="","",CAInitial+SUM(D$5:D21))</f>
        <v/>
      </c>
      <c r="F22" s="19" t="str">
        <f>IF(C22="","",E22+D22)</f>
        <v/>
      </c>
      <c r="G22" s="20" t="str">
        <f>IF(C22="","",SUMPRODUCT((F22&gt;=Seuils)*Ecarts))</f>
        <v/>
      </c>
      <c r="H22" s="19" t="str">
        <f>IF(C22="","",CHOOSE(MATCH(ModePaliers,{"Par tranche","Au taux atteint","Au taux atteint rétroactif"},0),ROUND(SUMPRODUCT((F22&gt;Seuils)*(F22-Seuils)*Ecarts)-SUMPRODUCT((E22&gt;Seuils)*(E22-Seuils)*Ecarts),2),ROUND(D22*SUMPRODUCT((F22&gt;=Seuils)*Ecarts),2),ROUND(D22*SUMPRODUCT((F22&gt;=Seuils)*Ecarts),2)+ROUND(E22*(SUMPRODUCT((F22&gt;=Seuils)*Ecarts)-SUMPRODUCT((E22&gt;=Seuils)*Ecarts)),2)))</f>
        <v/>
      </c>
      <c r="I22" s="21"/>
      <c r="J22" s="19" t="str">
        <f>IF(C22="","",ROUND(H22*IF(I22="",1,I22),2))</f>
        <v/>
      </c>
    </row>
    <row r="23" spans="1:10" x14ac:dyDescent="0.25">
      <c r="A23" s="17"/>
      <c r="B23" s="6"/>
      <c r="C23" s="18"/>
      <c r="D23" s="19" t="str">
        <f>IF(C23="","",ROUND(C23/IF(SaisieHonoraires="TTC",1+TauxTVA,1),2))</f>
        <v/>
      </c>
      <c r="E23" s="19" t="str">
        <f>IF(C23="","",CAInitial+SUM(D$5:D22))</f>
        <v/>
      </c>
      <c r="F23" s="19" t="str">
        <f>IF(C23="","",E23+D23)</f>
        <v/>
      </c>
      <c r="G23" s="20" t="str">
        <f>IF(C23="","",SUMPRODUCT((F23&gt;=Seuils)*Ecarts))</f>
        <v/>
      </c>
      <c r="H23" s="19" t="str">
        <f>IF(C23="","",CHOOSE(MATCH(ModePaliers,{"Par tranche","Au taux atteint","Au taux atteint rétroactif"},0),ROUND(SUMPRODUCT((F23&gt;Seuils)*(F23-Seuils)*Ecarts)-SUMPRODUCT((E23&gt;Seuils)*(E23-Seuils)*Ecarts),2),ROUND(D23*SUMPRODUCT((F23&gt;=Seuils)*Ecarts),2),ROUND(D23*SUMPRODUCT((F23&gt;=Seuils)*Ecarts),2)+ROUND(E23*(SUMPRODUCT((F23&gt;=Seuils)*Ecarts)-SUMPRODUCT((E23&gt;=Seuils)*Ecarts)),2)))</f>
        <v/>
      </c>
      <c r="I23" s="21"/>
      <c r="J23" s="19" t="str">
        <f>IF(C23="","",ROUND(H23*IF(I23="",1,I23),2))</f>
        <v/>
      </c>
    </row>
    <row r="24" spans="1:10" x14ac:dyDescent="0.25">
      <c r="A24" s="17"/>
      <c r="B24" s="6"/>
      <c r="C24" s="18"/>
      <c r="D24" s="19" t="str">
        <f>IF(C24="","",ROUND(C24/IF(SaisieHonoraires="TTC",1+TauxTVA,1),2))</f>
        <v/>
      </c>
      <c r="E24" s="19" t="str">
        <f>IF(C24="","",CAInitial+SUM(D$5:D23))</f>
        <v/>
      </c>
      <c r="F24" s="19" t="str">
        <f>IF(C24="","",E24+D24)</f>
        <v/>
      </c>
      <c r="G24" s="20" t="str">
        <f>IF(C24="","",SUMPRODUCT((F24&gt;=Seuils)*Ecarts))</f>
        <v/>
      </c>
      <c r="H24" s="19" t="str">
        <f>IF(C24="","",CHOOSE(MATCH(ModePaliers,{"Par tranche","Au taux atteint","Au taux atteint rétroactif"},0),ROUND(SUMPRODUCT((F24&gt;Seuils)*(F24-Seuils)*Ecarts)-SUMPRODUCT((E24&gt;Seuils)*(E24-Seuils)*Ecarts),2),ROUND(D24*SUMPRODUCT((F24&gt;=Seuils)*Ecarts),2),ROUND(D24*SUMPRODUCT((F24&gt;=Seuils)*Ecarts),2)+ROUND(E24*(SUMPRODUCT((F24&gt;=Seuils)*Ecarts)-SUMPRODUCT((E24&gt;=Seuils)*Ecarts)),2)))</f>
        <v/>
      </c>
      <c r="I24" s="21"/>
      <c r="J24" s="19" t="str">
        <f>IF(C24="","",ROUND(H24*IF(I24="",1,I24),2))</f>
        <v/>
      </c>
    </row>
    <row r="25" spans="1:10" x14ac:dyDescent="0.25">
      <c r="A25" s="17"/>
      <c r="B25" s="6"/>
      <c r="C25" s="18"/>
      <c r="D25" s="19" t="str">
        <f>IF(C25="","",ROUND(C25/IF(SaisieHonoraires="TTC",1+TauxTVA,1),2))</f>
        <v/>
      </c>
      <c r="E25" s="19" t="str">
        <f>IF(C25="","",CAInitial+SUM(D$5:D24))</f>
        <v/>
      </c>
      <c r="F25" s="19" t="str">
        <f>IF(C25="","",E25+D25)</f>
        <v/>
      </c>
      <c r="G25" s="20" t="str">
        <f>IF(C25="","",SUMPRODUCT((F25&gt;=Seuils)*Ecarts))</f>
        <v/>
      </c>
      <c r="H25" s="19" t="str">
        <f>IF(C25="","",CHOOSE(MATCH(ModePaliers,{"Par tranche","Au taux atteint","Au taux atteint rétroactif"},0),ROUND(SUMPRODUCT((F25&gt;Seuils)*(F25-Seuils)*Ecarts)-SUMPRODUCT((E25&gt;Seuils)*(E25-Seuils)*Ecarts),2),ROUND(D25*SUMPRODUCT((F25&gt;=Seuils)*Ecarts),2),ROUND(D25*SUMPRODUCT((F25&gt;=Seuils)*Ecarts),2)+ROUND(E25*(SUMPRODUCT((F25&gt;=Seuils)*Ecarts)-SUMPRODUCT((E25&gt;=Seuils)*Ecarts)),2)))</f>
        <v/>
      </c>
      <c r="I25" s="21"/>
      <c r="J25" s="19" t="str">
        <f>IF(C25="","",ROUND(H25*IF(I25="",1,I25),2))</f>
        <v/>
      </c>
    </row>
    <row r="26" spans="1:10" x14ac:dyDescent="0.25">
      <c r="A26" s="17"/>
      <c r="B26" s="6"/>
      <c r="C26" s="18"/>
      <c r="D26" s="19" t="str">
        <f>IF(C26="","",ROUND(C26/IF(SaisieHonoraires="TTC",1+TauxTVA,1),2))</f>
        <v/>
      </c>
      <c r="E26" s="19" t="str">
        <f>IF(C26="","",CAInitial+SUM(D$5:D25))</f>
        <v/>
      </c>
      <c r="F26" s="19" t="str">
        <f>IF(C26="","",E26+D26)</f>
        <v/>
      </c>
      <c r="G26" s="20" t="str">
        <f>IF(C26="","",SUMPRODUCT((F26&gt;=Seuils)*Ecarts))</f>
        <v/>
      </c>
      <c r="H26" s="19" t="str">
        <f>IF(C26="","",CHOOSE(MATCH(ModePaliers,{"Par tranche","Au taux atteint","Au taux atteint rétroactif"},0),ROUND(SUMPRODUCT((F26&gt;Seuils)*(F26-Seuils)*Ecarts)-SUMPRODUCT((E26&gt;Seuils)*(E26-Seuils)*Ecarts),2),ROUND(D26*SUMPRODUCT((F26&gt;=Seuils)*Ecarts),2),ROUND(D26*SUMPRODUCT((F26&gt;=Seuils)*Ecarts),2)+ROUND(E26*(SUMPRODUCT((F26&gt;=Seuils)*Ecarts)-SUMPRODUCT((E26&gt;=Seuils)*Ecarts)),2)))</f>
        <v/>
      </c>
      <c r="I26" s="21"/>
      <c r="J26" s="19" t="str">
        <f>IF(C26="","",ROUND(H26*IF(I26="",1,I26),2))</f>
        <v/>
      </c>
    </row>
    <row r="27" spans="1:10" x14ac:dyDescent="0.25">
      <c r="A27" s="17"/>
      <c r="B27" s="6"/>
      <c r="C27" s="18"/>
      <c r="D27" s="19" t="str">
        <f>IF(C27="","",ROUND(C27/IF(SaisieHonoraires="TTC",1+TauxTVA,1),2))</f>
        <v/>
      </c>
      <c r="E27" s="19" t="str">
        <f>IF(C27="","",CAInitial+SUM(D$5:D26))</f>
        <v/>
      </c>
      <c r="F27" s="19" t="str">
        <f>IF(C27="","",E27+D27)</f>
        <v/>
      </c>
      <c r="G27" s="20" t="str">
        <f>IF(C27="","",SUMPRODUCT((F27&gt;=Seuils)*Ecarts))</f>
        <v/>
      </c>
      <c r="H27" s="19" t="str">
        <f>IF(C27="","",CHOOSE(MATCH(ModePaliers,{"Par tranche","Au taux atteint","Au taux atteint rétroactif"},0),ROUND(SUMPRODUCT((F27&gt;Seuils)*(F27-Seuils)*Ecarts)-SUMPRODUCT((E27&gt;Seuils)*(E27-Seuils)*Ecarts),2),ROUND(D27*SUMPRODUCT((F27&gt;=Seuils)*Ecarts),2),ROUND(D27*SUMPRODUCT((F27&gt;=Seuils)*Ecarts),2)+ROUND(E27*(SUMPRODUCT((F27&gt;=Seuils)*Ecarts)-SUMPRODUCT((E27&gt;=Seuils)*Ecarts)),2)))</f>
        <v/>
      </c>
      <c r="I27" s="21"/>
      <c r="J27" s="19" t="str">
        <f>IF(C27="","",ROUND(H27*IF(I27="",1,I27),2))</f>
        <v/>
      </c>
    </row>
    <row r="28" spans="1:10" x14ac:dyDescent="0.25">
      <c r="A28" s="17"/>
      <c r="B28" s="6"/>
      <c r="C28" s="18"/>
      <c r="D28" s="19" t="str">
        <f>IF(C28="","",ROUND(C28/IF(SaisieHonoraires="TTC",1+TauxTVA,1),2))</f>
        <v/>
      </c>
      <c r="E28" s="19" t="str">
        <f>IF(C28="","",CAInitial+SUM(D$5:D27))</f>
        <v/>
      </c>
      <c r="F28" s="19" t="str">
        <f>IF(C28="","",E28+D28)</f>
        <v/>
      </c>
      <c r="G28" s="20" t="str">
        <f>IF(C28="","",SUMPRODUCT((F28&gt;=Seuils)*Ecarts))</f>
        <v/>
      </c>
      <c r="H28" s="19" t="str">
        <f>IF(C28="","",CHOOSE(MATCH(ModePaliers,{"Par tranche","Au taux atteint","Au taux atteint rétroactif"},0),ROUND(SUMPRODUCT((F28&gt;Seuils)*(F28-Seuils)*Ecarts)-SUMPRODUCT((E28&gt;Seuils)*(E28-Seuils)*Ecarts),2),ROUND(D28*SUMPRODUCT((F28&gt;=Seuils)*Ecarts),2),ROUND(D28*SUMPRODUCT((F28&gt;=Seuils)*Ecarts),2)+ROUND(E28*(SUMPRODUCT((F28&gt;=Seuils)*Ecarts)-SUMPRODUCT((E28&gt;=Seuils)*Ecarts)),2)))</f>
        <v/>
      </c>
      <c r="I28" s="21"/>
      <c r="J28" s="19" t="str">
        <f>IF(C28="","",ROUND(H28*IF(I28="",1,I28),2))</f>
        <v/>
      </c>
    </row>
    <row r="29" spans="1:10" x14ac:dyDescent="0.25">
      <c r="A29" s="17"/>
      <c r="B29" s="6"/>
      <c r="C29" s="18"/>
      <c r="D29" s="19" t="str">
        <f>IF(C29="","",ROUND(C29/IF(SaisieHonoraires="TTC",1+TauxTVA,1),2))</f>
        <v/>
      </c>
      <c r="E29" s="19" t="str">
        <f>IF(C29="","",CAInitial+SUM(D$5:D28))</f>
        <v/>
      </c>
      <c r="F29" s="19" t="str">
        <f>IF(C29="","",E29+D29)</f>
        <v/>
      </c>
      <c r="G29" s="20" t="str">
        <f>IF(C29="","",SUMPRODUCT((F29&gt;=Seuils)*Ecarts))</f>
        <v/>
      </c>
      <c r="H29" s="19" t="str">
        <f>IF(C29="","",CHOOSE(MATCH(ModePaliers,{"Par tranche","Au taux atteint","Au taux atteint rétroactif"},0),ROUND(SUMPRODUCT((F29&gt;Seuils)*(F29-Seuils)*Ecarts)-SUMPRODUCT((E29&gt;Seuils)*(E29-Seuils)*Ecarts),2),ROUND(D29*SUMPRODUCT((F29&gt;=Seuils)*Ecarts),2),ROUND(D29*SUMPRODUCT((F29&gt;=Seuils)*Ecarts),2)+ROUND(E29*(SUMPRODUCT((F29&gt;=Seuils)*Ecarts)-SUMPRODUCT((E29&gt;=Seuils)*Ecarts)),2)))</f>
        <v/>
      </c>
      <c r="I29" s="21"/>
      <c r="J29" s="19" t="str">
        <f>IF(C29="","",ROUND(H29*IF(I29="",1,I29),2))</f>
        <v/>
      </c>
    </row>
    <row r="30" spans="1:10" x14ac:dyDescent="0.25">
      <c r="A30" s="17"/>
      <c r="B30" s="6"/>
      <c r="C30" s="18"/>
      <c r="D30" s="19" t="str">
        <f>IF(C30="","",ROUND(C30/IF(SaisieHonoraires="TTC",1+TauxTVA,1),2))</f>
        <v/>
      </c>
      <c r="E30" s="19" t="str">
        <f>IF(C30="","",CAInitial+SUM(D$5:D29))</f>
        <v/>
      </c>
      <c r="F30" s="19" t="str">
        <f>IF(C30="","",E30+D30)</f>
        <v/>
      </c>
      <c r="G30" s="20" t="str">
        <f>IF(C30="","",SUMPRODUCT((F30&gt;=Seuils)*Ecarts))</f>
        <v/>
      </c>
      <c r="H30" s="19" t="str">
        <f>IF(C30="","",CHOOSE(MATCH(ModePaliers,{"Par tranche","Au taux atteint","Au taux atteint rétroactif"},0),ROUND(SUMPRODUCT((F30&gt;Seuils)*(F30-Seuils)*Ecarts)-SUMPRODUCT((E30&gt;Seuils)*(E30-Seuils)*Ecarts),2),ROUND(D30*SUMPRODUCT((F30&gt;=Seuils)*Ecarts),2),ROUND(D30*SUMPRODUCT((F30&gt;=Seuils)*Ecarts),2)+ROUND(E30*(SUMPRODUCT((F30&gt;=Seuils)*Ecarts)-SUMPRODUCT((E30&gt;=Seuils)*Ecarts)),2)))</f>
        <v/>
      </c>
      <c r="I30" s="21"/>
      <c r="J30" s="19" t="str">
        <f>IF(C30="","",ROUND(H30*IF(I30="",1,I30),2))</f>
        <v/>
      </c>
    </row>
    <row r="31" spans="1:10" x14ac:dyDescent="0.25">
      <c r="A31" s="17"/>
      <c r="B31" s="6"/>
      <c r="C31" s="18"/>
      <c r="D31" s="19" t="str">
        <f>IF(C31="","",ROUND(C31/IF(SaisieHonoraires="TTC",1+TauxTVA,1),2))</f>
        <v/>
      </c>
      <c r="E31" s="19" t="str">
        <f>IF(C31="","",CAInitial+SUM(D$5:D30))</f>
        <v/>
      </c>
      <c r="F31" s="19" t="str">
        <f>IF(C31="","",E31+D31)</f>
        <v/>
      </c>
      <c r="G31" s="20" t="str">
        <f>IF(C31="","",SUMPRODUCT((F31&gt;=Seuils)*Ecarts))</f>
        <v/>
      </c>
      <c r="H31" s="19" t="str">
        <f>IF(C31="","",CHOOSE(MATCH(ModePaliers,{"Par tranche","Au taux atteint","Au taux atteint rétroactif"},0),ROUND(SUMPRODUCT((F31&gt;Seuils)*(F31-Seuils)*Ecarts)-SUMPRODUCT((E31&gt;Seuils)*(E31-Seuils)*Ecarts),2),ROUND(D31*SUMPRODUCT((F31&gt;=Seuils)*Ecarts),2),ROUND(D31*SUMPRODUCT((F31&gt;=Seuils)*Ecarts),2)+ROUND(E31*(SUMPRODUCT((F31&gt;=Seuils)*Ecarts)-SUMPRODUCT((E31&gt;=Seuils)*Ecarts)),2)))</f>
        <v/>
      </c>
      <c r="I31" s="21"/>
      <c r="J31" s="19" t="str">
        <f>IF(C31="","",ROUND(H31*IF(I31="",1,I31),2))</f>
        <v/>
      </c>
    </row>
    <row r="32" spans="1:10" x14ac:dyDescent="0.25">
      <c r="A32" s="17"/>
      <c r="B32" s="6"/>
      <c r="C32" s="18"/>
      <c r="D32" s="19" t="str">
        <f>IF(C32="","",ROUND(C32/IF(SaisieHonoraires="TTC",1+TauxTVA,1),2))</f>
        <v/>
      </c>
      <c r="E32" s="19" t="str">
        <f>IF(C32="","",CAInitial+SUM(D$5:D31))</f>
        <v/>
      </c>
      <c r="F32" s="19" t="str">
        <f>IF(C32="","",E32+D32)</f>
        <v/>
      </c>
      <c r="G32" s="20" t="str">
        <f>IF(C32="","",SUMPRODUCT((F32&gt;=Seuils)*Ecarts))</f>
        <v/>
      </c>
      <c r="H32" s="19" t="str">
        <f>IF(C32="","",CHOOSE(MATCH(ModePaliers,{"Par tranche","Au taux atteint","Au taux atteint rétroactif"},0),ROUND(SUMPRODUCT((F32&gt;Seuils)*(F32-Seuils)*Ecarts)-SUMPRODUCT((E32&gt;Seuils)*(E32-Seuils)*Ecarts),2),ROUND(D32*SUMPRODUCT((F32&gt;=Seuils)*Ecarts),2),ROUND(D32*SUMPRODUCT((F32&gt;=Seuils)*Ecarts),2)+ROUND(E32*(SUMPRODUCT((F32&gt;=Seuils)*Ecarts)-SUMPRODUCT((E32&gt;=Seuils)*Ecarts)),2)))</f>
        <v/>
      </c>
      <c r="I32" s="21"/>
      <c r="J32" s="19" t="str">
        <f>IF(C32="","",ROUND(H32*IF(I32="",1,I32),2))</f>
        <v/>
      </c>
    </row>
    <row r="33" spans="1:10" x14ac:dyDescent="0.25">
      <c r="A33" s="17"/>
      <c r="B33" s="6"/>
      <c r="C33" s="18"/>
      <c r="D33" s="19" t="str">
        <f>IF(C33="","",ROUND(C33/IF(SaisieHonoraires="TTC",1+TauxTVA,1),2))</f>
        <v/>
      </c>
      <c r="E33" s="19" t="str">
        <f>IF(C33="","",CAInitial+SUM(D$5:D32))</f>
        <v/>
      </c>
      <c r="F33" s="19" t="str">
        <f>IF(C33="","",E33+D33)</f>
        <v/>
      </c>
      <c r="G33" s="20" t="str">
        <f>IF(C33="","",SUMPRODUCT((F33&gt;=Seuils)*Ecarts))</f>
        <v/>
      </c>
      <c r="H33" s="19" t="str">
        <f>IF(C33="","",CHOOSE(MATCH(ModePaliers,{"Par tranche","Au taux atteint","Au taux atteint rétroactif"},0),ROUND(SUMPRODUCT((F33&gt;Seuils)*(F33-Seuils)*Ecarts)-SUMPRODUCT((E33&gt;Seuils)*(E33-Seuils)*Ecarts),2),ROUND(D33*SUMPRODUCT((F33&gt;=Seuils)*Ecarts),2),ROUND(D33*SUMPRODUCT((F33&gt;=Seuils)*Ecarts),2)+ROUND(E33*(SUMPRODUCT((F33&gt;=Seuils)*Ecarts)-SUMPRODUCT((E33&gt;=Seuils)*Ecarts)),2)))</f>
        <v/>
      </c>
      <c r="I33" s="21"/>
      <c r="J33" s="19" t="str">
        <f>IF(C33="","",ROUND(H33*IF(I33="",1,I33),2))</f>
        <v/>
      </c>
    </row>
    <row r="34" spans="1:10" x14ac:dyDescent="0.25">
      <c r="A34" s="17"/>
      <c r="B34" s="6"/>
      <c r="C34" s="18"/>
      <c r="D34" s="19" t="str">
        <f>IF(C34="","",ROUND(C34/IF(SaisieHonoraires="TTC",1+TauxTVA,1),2))</f>
        <v/>
      </c>
      <c r="E34" s="19" t="str">
        <f>IF(C34="","",CAInitial+SUM(D$5:D33))</f>
        <v/>
      </c>
      <c r="F34" s="19" t="str">
        <f>IF(C34="","",E34+D34)</f>
        <v/>
      </c>
      <c r="G34" s="20" t="str">
        <f>IF(C34="","",SUMPRODUCT((F34&gt;=Seuils)*Ecarts))</f>
        <v/>
      </c>
      <c r="H34" s="19" t="str">
        <f>IF(C34="","",CHOOSE(MATCH(ModePaliers,{"Par tranche","Au taux atteint","Au taux atteint rétroactif"},0),ROUND(SUMPRODUCT((F34&gt;Seuils)*(F34-Seuils)*Ecarts)-SUMPRODUCT((E34&gt;Seuils)*(E34-Seuils)*Ecarts),2),ROUND(D34*SUMPRODUCT((F34&gt;=Seuils)*Ecarts),2),ROUND(D34*SUMPRODUCT((F34&gt;=Seuils)*Ecarts),2)+ROUND(E34*(SUMPRODUCT((F34&gt;=Seuils)*Ecarts)-SUMPRODUCT((E34&gt;=Seuils)*Ecarts)),2)))</f>
        <v/>
      </c>
      <c r="I34" s="21"/>
      <c r="J34" s="19" t="str">
        <f>IF(C34="","",ROUND(H34*IF(I34="",1,I34),2))</f>
        <v/>
      </c>
    </row>
    <row r="35" spans="1:10" x14ac:dyDescent="0.25">
      <c r="A35" s="17"/>
      <c r="B35" s="6"/>
      <c r="C35" s="18"/>
      <c r="D35" s="19" t="str">
        <f>IF(C35="","",ROUND(C35/IF(SaisieHonoraires="TTC",1+TauxTVA,1),2))</f>
        <v/>
      </c>
      <c r="E35" s="19" t="str">
        <f>IF(C35="","",CAInitial+SUM(D$5:D34))</f>
        <v/>
      </c>
      <c r="F35" s="19" t="str">
        <f>IF(C35="","",E35+D35)</f>
        <v/>
      </c>
      <c r="G35" s="20" t="str">
        <f>IF(C35="","",SUMPRODUCT((F35&gt;=Seuils)*Ecarts))</f>
        <v/>
      </c>
      <c r="H35" s="19" t="str">
        <f>IF(C35="","",CHOOSE(MATCH(ModePaliers,{"Par tranche","Au taux atteint","Au taux atteint rétroactif"},0),ROUND(SUMPRODUCT((F35&gt;Seuils)*(F35-Seuils)*Ecarts)-SUMPRODUCT((E35&gt;Seuils)*(E35-Seuils)*Ecarts),2),ROUND(D35*SUMPRODUCT((F35&gt;=Seuils)*Ecarts),2),ROUND(D35*SUMPRODUCT((F35&gt;=Seuils)*Ecarts),2)+ROUND(E35*(SUMPRODUCT((F35&gt;=Seuils)*Ecarts)-SUMPRODUCT((E35&gt;=Seuils)*Ecarts)),2)))</f>
        <v/>
      </c>
      <c r="I35" s="21"/>
      <c r="J35" s="19" t="str">
        <f>IF(C35="","",ROUND(H35*IF(I35="",1,I35),2))</f>
        <v/>
      </c>
    </row>
    <row r="36" spans="1:10" x14ac:dyDescent="0.25">
      <c r="A36" s="17"/>
      <c r="B36" s="6"/>
      <c r="C36" s="18"/>
      <c r="D36" s="19" t="str">
        <f>IF(C36="","",ROUND(C36/IF(SaisieHonoraires="TTC",1+TauxTVA,1),2))</f>
        <v/>
      </c>
      <c r="E36" s="19" t="str">
        <f>IF(C36="","",CAInitial+SUM(D$5:D35))</f>
        <v/>
      </c>
      <c r="F36" s="19" t="str">
        <f>IF(C36="","",E36+D36)</f>
        <v/>
      </c>
      <c r="G36" s="20" t="str">
        <f>IF(C36="","",SUMPRODUCT((F36&gt;=Seuils)*Ecarts))</f>
        <v/>
      </c>
      <c r="H36" s="19" t="str">
        <f>IF(C36="","",CHOOSE(MATCH(ModePaliers,{"Par tranche","Au taux atteint","Au taux atteint rétroactif"},0),ROUND(SUMPRODUCT((F36&gt;Seuils)*(F36-Seuils)*Ecarts)-SUMPRODUCT((E36&gt;Seuils)*(E36-Seuils)*Ecarts),2),ROUND(D36*SUMPRODUCT((F36&gt;=Seuils)*Ecarts),2),ROUND(D36*SUMPRODUCT((F36&gt;=Seuils)*Ecarts),2)+ROUND(E36*(SUMPRODUCT((F36&gt;=Seuils)*Ecarts)-SUMPRODUCT((E36&gt;=Seuils)*Ecarts)),2)))</f>
        <v/>
      </c>
      <c r="I36" s="21"/>
      <c r="J36" s="19" t="str">
        <f>IF(C36="","",ROUND(H36*IF(I36="",1,I36),2))</f>
        <v/>
      </c>
    </row>
    <row r="37" spans="1:10" x14ac:dyDescent="0.25">
      <c r="A37" s="17"/>
      <c r="B37" s="6"/>
      <c r="C37" s="18"/>
      <c r="D37" s="19" t="str">
        <f>IF(C37="","",ROUND(C37/IF(SaisieHonoraires="TTC",1+TauxTVA,1),2))</f>
        <v/>
      </c>
      <c r="E37" s="19" t="str">
        <f>IF(C37="","",CAInitial+SUM(D$5:D36))</f>
        <v/>
      </c>
      <c r="F37" s="19" t="str">
        <f>IF(C37="","",E37+D37)</f>
        <v/>
      </c>
      <c r="G37" s="20" t="str">
        <f>IF(C37="","",SUMPRODUCT((F37&gt;=Seuils)*Ecarts))</f>
        <v/>
      </c>
      <c r="H37" s="19" t="str">
        <f>IF(C37="","",CHOOSE(MATCH(ModePaliers,{"Par tranche","Au taux atteint","Au taux atteint rétroactif"},0),ROUND(SUMPRODUCT((F37&gt;Seuils)*(F37-Seuils)*Ecarts)-SUMPRODUCT((E37&gt;Seuils)*(E37-Seuils)*Ecarts),2),ROUND(D37*SUMPRODUCT((F37&gt;=Seuils)*Ecarts),2),ROUND(D37*SUMPRODUCT((F37&gt;=Seuils)*Ecarts),2)+ROUND(E37*(SUMPRODUCT((F37&gt;=Seuils)*Ecarts)-SUMPRODUCT((E37&gt;=Seuils)*Ecarts)),2)))</f>
        <v/>
      </c>
      <c r="I37" s="21"/>
      <c r="J37" s="19" t="str">
        <f>IF(C37="","",ROUND(H37*IF(I37="",1,I37),2))</f>
        <v/>
      </c>
    </row>
    <row r="38" spans="1:10" x14ac:dyDescent="0.25">
      <c r="A38" s="17"/>
      <c r="B38" s="6"/>
      <c r="C38" s="18"/>
      <c r="D38" s="19" t="str">
        <f>IF(C38="","",ROUND(C38/IF(SaisieHonoraires="TTC",1+TauxTVA,1),2))</f>
        <v/>
      </c>
      <c r="E38" s="19" t="str">
        <f>IF(C38="","",CAInitial+SUM(D$5:D37))</f>
        <v/>
      </c>
      <c r="F38" s="19" t="str">
        <f>IF(C38="","",E38+D38)</f>
        <v/>
      </c>
      <c r="G38" s="20" t="str">
        <f>IF(C38="","",SUMPRODUCT((F38&gt;=Seuils)*Ecarts))</f>
        <v/>
      </c>
      <c r="H38" s="19" t="str">
        <f>IF(C38="","",CHOOSE(MATCH(ModePaliers,{"Par tranche","Au taux atteint","Au taux atteint rétroactif"},0),ROUND(SUMPRODUCT((F38&gt;Seuils)*(F38-Seuils)*Ecarts)-SUMPRODUCT((E38&gt;Seuils)*(E38-Seuils)*Ecarts),2),ROUND(D38*SUMPRODUCT((F38&gt;=Seuils)*Ecarts),2),ROUND(D38*SUMPRODUCT((F38&gt;=Seuils)*Ecarts),2)+ROUND(E38*(SUMPRODUCT((F38&gt;=Seuils)*Ecarts)-SUMPRODUCT((E38&gt;=Seuils)*Ecarts)),2)))</f>
        <v/>
      </c>
      <c r="I38" s="21"/>
      <c r="J38" s="19" t="str">
        <f>IF(C38="","",ROUND(H38*IF(I38="",1,I38),2))</f>
        <v/>
      </c>
    </row>
    <row r="39" spans="1:10" x14ac:dyDescent="0.25">
      <c r="A39" s="17"/>
      <c r="B39" s="6"/>
      <c r="C39" s="18"/>
      <c r="D39" s="19" t="str">
        <f>IF(C39="","",ROUND(C39/IF(SaisieHonoraires="TTC",1+TauxTVA,1),2))</f>
        <v/>
      </c>
      <c r="E39" s="19" t="str">
        <f>IF(C39="","",CAInitial+SUM(D$5:D38))</f>
        <v/>
      </c>
      <c r="F39" s="19" t="str">
        <f>IF(C39="","",E39+D39)</f>
        <v/>
      </c>
      <c r="G39" s="20" t="str">
        <f>IF(C39="","",SUMPRODUCT((F39&gt;=Seuils)*Ecarts))</f>
        <v/>
      </c>
      <c r="H39" s="19" t="str">
        <f>IF(C39="","",CHOOSE(MATCH(ModePaliers,{"Par tranche","Au taux atteint","Au taux atteint rétroactif"},0),ROUND(SUMPRODUCT((F39&gt;Seuils)*(F39-Seuils)*Ecarts)-SUMPRODUCT((E39&gt;Seuils)*(E39-Seuils)*Ecarts),2),ROUND(D39*SUMPRODUCT((F39&gt;=Seuils)*Ecarts),2),ROUND(D39*SUMPRODUCT((F39&gt;=Seuils)*Ecarts),2)+ROUND(E39*(SUMPRODUCT((F39&gt;=Seuils)*Ecarts)-SUMPRODUCT((E39&gt;=Seuils)*Ecarts)),2)))</f>
        <v/>
      </c>
      <c r="I39" s="21"/>
      <c r="J39" s="19" t="str">
        <f>IF(C39="","",ROUND(H39*IF(I39="",1,I39),2))</f>
        <v/>
      </c>
    </row>
    <row r="40" spans="1:10" x14ac:dyDescent="0.25">
      <c r="A40" s="17"/>
      <c r="B40" s="6"/>
      <c r="C40" s="18"/>
      <c r="D40" s="19" t="str">
        <f>IF(C40="","",ROUND(C40/IF(SaisieHonoraires="TTC",1+TauxTVA,1),2))</f>
        <v/>
      </c>
      <c r="E40" s="19" t="str">
        <f>IF(C40="","",CAInitial+SUM(D$5:D39))</f>
        <v/>
      </c>
      <c r="F40" s="19" t="str">
        <f>IF(C40="","",E40+D40)</f>
        <v/>
      </c>
      <c r="G40" s="20" t="str">
        <f>IF(C40="","",SUMPRODUCT((F40&gt;=Seuils)*Ecarts))</f>
        <v/>
      </c>
      <c r="H40" s="19" t="str">
        <f>IF(C40="","",CHOOSE(MATCH(ModePaliers,{"Par tranche","Au taux atteint","Au taux atteint rétroactif"},0),ROUND(SUMPRODUCT((F40&gt;Seuils)*(F40-Seuils)*Ecarts)-SUMPRODUCT((E40&gt;Seuils)*(E40-Seuils)*Ecarts),2),ROUND(D40*SUMPRODUCT((F40&gt;=Seuils)*Ecarts),2),ROUND(D40*SUMPRODUCT((F40&gt;=Seuils)*Ecarts),2)+ROUND(E40*(SUMPRODUCT((F40&gt;=Seuils)*Ecarts)-SUMPRODUCT((E40&gt;=Seuils)*Ecarts)),2)))</f>
        <v/>
      </c>
      <c r="I40" s="21"/>
      <c r="J40" s="19" t="str">
        <f>IF(C40="","",ROUND(H40*IF(I40="",1,I40),2))</f>
        <v/>
      </c>
    </row>
    <row r="41" spans="1:10" x14ac:dyDescent="0.25">
      <c r="A41" s="17"/>
      <c r="B41" s="6"/>
      <c r="C41" s="18"/>
      <c r="D41" s="19" t="str">
        <f>IF(C41="","",ROUND(C41/IF(SaisieHonoraires="TTC",1+TauxTVA,1),2))</f>
        <v/>
      </c>
      <c r="E41" s="19" t="str">
        <f>IF(C41="","",CAInitial+SUM(D$5:D40))</f>
        <v/>
      </c>
      <c r="F41" s="19" t="str">
        <f>IF(C41="","",E41+D41)</f>
        <v/>
      </c>
      <c r="G41" s="20" t="str">
        <f>IF(C41="","",SUMPRODUCT((F41&gt;=Seuils)*Ecarts))</f>
        <v/>
      </c>
      <c r="H41" s="19" t="str">
        <f>IF(C41="","",CHOOSE(MATCH(ModePaliers,{"Par tranche","Au taux atteint","Au taux atteint rétroactif"},0),ROUND(SUMPRODUCT((F41&gt;Seuils)*(F41-Seuils)*Ecarts)-SUMPRODUCT((E41&gt;Seuils)*(E41-Seuils)*Ecarts),2),ROUND(D41*SUMPRODUCT((F41&gt;=Seuils)*Ecarts),2),ROUND(D41*SUMPRODUCT((F41&gt;=Seuils)*Ecarts),2)+ROUND(E41*(SUMPRODUCT((F41&gt;=Seuils)*Ecarts)-SUMPRODUCT((E41&gt;=Seuils)*Ecarts)),2)))</f>
        <v/>
      </c>
      <c r="I41" s="21"/>
      <c r="J41" s="19" t="str">
        <f>IF(C41="","",ROUND(H41*IF(I41="",1,I41),2))</f>
        <v/>
      </c>
    </row>
    <row r="42" spans="1:10" x14ac:dyDescent="0.25">
      <c r="A42" s="17"/>
      <c r="B42" s="6"/>
      <c r="C42" s="18"/>
      <c r="D42" s="19" t="str">
        <f>IF(C42="","",ROUND(C42/IF(SaisieHonoraires="TTC",1+TauxTVA,1),2))</f>
        <v/>
      </c>
      <c r="E42" s="19" t="str">
        <f>IF(C42="","",CAInitial+SUM(D$5:D41))</f>
        <v/>
      </c>
      <c r="F42" s="19" t="str">
        <f>IF(C42="","",E42+D42)</f>
        <v/>
      </c>
      <c r="G42" s="20" t="str">
        <f>IF(C42="","",SUMPRODUCT((F42&gt;=Seuils)*Ecarts))</f>
        <v/>
      </c>
      <c r="H42" s="19" t="str">
        <f>IF(C42="","",CHOOSE(MATCH(ModePaliers,{"Par tranche","Au taux atteint","Au taux atteint rétroactif"},0),ROUND(SUMPRODUCT((F42&gt;Seuils)*(F42-Seuils)*Ecarts)-SUMPRODUCT((E42&gt;Seuils)*(E42-Seuils)*Ecarts),2),ROUND(D42*SUMPRODUCT((F42&gt;=Seuils)*Ecarts),2),ROUND(D42*SUMPRODUCT((F42&gt;=Seuils)*Ecarts),2)+ROUND(E42*(SUMPRODUCT((F42&gt;=Seuils)*Ecarts)-SUMPRODUCT((E42&gt;=Seuils)*Ecarts)),2)))</f>
        <v/>
      </c>
      <c r="I42" s="21"/>
      <c r="J42" s="19" t="str">
        <f>IF(C42="","",ROUND(H42*IF(I42="",1,I42),2))</f>
        <v/>
      </c>
    </row>
    <row r="43" spans="1:10" x14ac:dyDescent="0.25">
      <c r="A43" s="17"/>
      <c r="B43" s="6"/>
      <c r="C43" s="18"/>
      <c r="D43" s="19" t="str">
        <f>IF(C43="","",ROUND(C43/IF(SaisieHonoraires="TTC",1+TauxTVA,1),2))</f>
        <v/>
      </c>
      <c r="E43" s="19" t="str">
        <f>IF(C43="","",CAInitial+SUM(D$5:D42))</f>
        <v/>
      </c>
      <c r="F43" s="19" t="str">
        <f>IF(C43="","",E43+D43)</f>
        <v/>
      </c>
      <c r="G43" s="20" t="str">
        <f>IF(C43="","",SUMPRODUCT((F43&gt;=Seuils)*Ecarts))</f>
        <v/>
      </c>
      <c r="H43" s="19" t="str">
        <f>IF(C43="","",CHOOSE(MATCH(ModePaliers,{"Par tranche","Au taux atteint","Au taux atteint rétroactif"},0),ROUND(SUMPRODUCT((F43&gt;Seuils)*(F43-Seuils)*Ecarts)-SUMPRODUCT((E43&gt;Seuils)*(E43-Seuils)*Ecarts),2),ROUND(D43*SUMPRODUCT((F43&gt;=Seuils)*Ecarts),2),ROUND(D43*SUMPRODUCT((F43&gt;=Seuils)*Ecarts),2)+ROUND(E43*(SUMPRODUCT((F43&gt;=Seuils)*Ecarts)-SUMPRODUCT((E43&gt;=Seuils)*Ecarts)),2)))</f>
        <v/>
      </c>
      <c r="I43" s="21"/>
      <c r="J43" s="19" t="str">
        <f>IF(C43="","",ROUND(H43*IF(I43="",1,I43),2))</f>
        <v/>
      </c>
    </row>
    <row r="44" spans="1:10" x14ac:dyDescent="0.25">
      <c r="A44" s="17"/>
      <c r="B44" s="6"/>
      <c r="C44" s="18"/>
      <c r="D44" s="19" t="str">
        <f>IF(C44="","",ROUND(C44/IF(SaisieHonoraires="TTC",1+TauxTVA,1),2))</f>
        <v/>
      </c>
      <c r="E44" s="19" t="str">
        <f>IF(C44="","",CAInitial+SUM(D$5:D43))</f>
        <v/>
      </c>
      <c r="F44" s="19" t="str">
        <f>IF(C44="","",E44+D44)</f>
        <v/>
      </c>
      <c r="G44" s="20" t="str">
        <f>IF(C44="","",SUMPRODUCT((F44&gt;=Seuils)*Ecarts))</f>
        <v/>
      </c>
      <c r="H44" s="19" t="str">
        <f>IF(C44="","",CHOOSE(MATCH(ModePaliers,{"Par tranche","Au taux atteint","Au taux atteint rétroactif"},0),ROUND(SUMPRODUCT((F44&gt;Seuils)*(F44-Seuils)*Ecarts)-SUMPRODUCT((E44&gt;Seuils)*(E44-Seuils)*Ecarts),2),ROUND(D44*SUMPRODUCT((F44&gt;=Seuils)*Ecarts),2),ROUND(D44*SUMPRODUCT((F44&gt;=Seuils)*Ecarts),2)+ROUND(E44*(SUMPRODUCT((F44&gt;=Seuils)*Ecarts)-SUMPRODUCT((E44&gt;=Seuils)*Ecarts)),2)))</f>
        <v/>
      </c>
      <c r="I44" s="21"/>
      <c r="J44" s="19" t="str">
        <f>IF(C44="","",ROUND(H44*IF(I44="",1,I44),2))</f>
        <v/>
      </c>
    </row>
    <row r="45" spans="1:10" x14ac:dyDescent="0.25">
      <c r="A45" s="17"/>
      <c r="B45" s="6"/>
      <c r="C45" s="18"/>
      <c r="D45" s="19" t="str">
        <f>IF(C45="","",ROUND(C45/IF(SaisieHonoraires="TTC",1+TauxTVA,1),2))</f>
        <v/>
      </c>
      <c r="E45" s="19" t="str">
        <f>IF(C45="","",CAInitial+SUM(D$5:D44))</f>
        <v/>
      </c>
      <c r="F45" s="19" t="str">
        <f>IF(C45="","",E45+D45)</f>
        <v/>
      </c>
      <c r="G45" s="20" t="str">
        <f>IF(C45="","",SUMPRODUCT((F45&gt;=Seuils)*Ecarts))</f>
        <v/>
      </c>
      <c r="H45" s="19" t="str">
        <f>IF(C45="","",CHOOSE(MATCH(ModePaliers,{"Par tranche","Au taux atteint","Au taux atteint rétroactif"},0),ROUND(SUMPRODUCT((F45&gt;Seuils)*(F45-Seuils)*Ecarts)-SUMPRODUCT((E45&gt;Seuils)*(E45-Seuils)*Ecarts),2),ROUND(D45*SUMPRODUCT((F45&gt;=Seuils)*Ecarts),2),ROUND(D45*SUMPRODUCT((F45&gt;=Seuils)*Ecarts),2)+ROUND(E45*(SUMPRODUCT((F45&gt;=Seuils)*Ecarts)-SUMPRODUCT((E45&gt;=Seuils)*Ecarts)),2)))</f>
        <v/>
      </c>
      <c r="I45" s="21"/>
      <c r="J45" s="19" t="str">
        <f>IF(C45="","",ROUND(H45*IF(I45="",1,I45),2))</f>
        <v/>
      </c>
    </row>
    <row r="46" spans="1:10" x14ac:dyDescent="0.25">
      <c r="A46" s="17"/>
      <c r="B46" s="6"/>
      <c r="C46" s="18"/>
      <c r="D46" s="19" t="str">
        <f>IF(C46="","",ROUND(C46/IF(SaisieHonoraires="TTC",1+TauxTVA,1),2))</f>
        <v/>
      </c>
      <c r="E46" s="19" t="str">
        <f>IF(C46="","",CAInitial+SUM(D$5:D45))</f>
        <v/>
      </c>
      <c r="F46" s="19" t="str">
        <f>IF(C46="","",E46+D46)</f>
        <v/>
      </c>
      <c r="G46" s="20" t="str">
        <f>IF(C46="","",SUMPRODUCT((F46&gt;=Seuils)*Ecarts))</f>
        <v/>
      </c>
      <c r="H46" s="19" t="str">
        <f>IF(C46="","",CHOOSE(MATCH(ModePaliers,{"Par tranche","Au taux atteint","Au taux atteint rétroactif"},0),ROUND(SUMPRODUCT((F46&gt;Seuils)*(F46-Seuils)*Ecarts)-SUMPRODUCT((E46&gt;Seuils)*(E46-Seuils)*Ecarts),2),ROUND(D46*SUMPRODUCT((F46&gt;=Seuils)*Ecarts),2),ROUND(D46*SUMPRODUCT((F46&gt;=Seuils)*Ecarts),2)+ROUND(E46*(SUMPRODUCT((F46&gt;=Seuils)*Ecarts)-SUMPRODUCT((E46&gt;=Seuils)*Ecarts)),2)))</f>
        <v/>
      </c>
      <c r="I46" s="21"/>
      <c r="J46" s="19" t="str">
        <f>IF(C46="","",ROUND(H46*IF(I46="",1,I46),2))</f>
        <v/>
      </c>
    </row>
    <row r="47" spans="1:10" x14ac:dyDescent="0.25">
      <c r="A47" s="17"/>
      <c r="B47" s="6"/>
      <c r="C47" s="18"/>
      <c r="D47" s="19" t="str">
        <f>IF(C47="","",ROUND(C47/IF(SaisieHonoraires="TTC",1+TauxTVA,1),2))</f>
        <v/>
      </c>
      <c r="E47" s="19" t="str">
        <f>IF(C47="","",CAInitial+SUM(D$5:D46))</f>
        <v/>
      </c>
      <c r="F47" s="19" t="str">
        <f>IF(C47="","",E47+D47)</f>
        <v/>
      </c>
      <c r="G47" s="20" t="str">
        <f>IF(C47="","",SUMPRODUCT((F47&gt;=Seuils)*Ecarts))</f>
        <v/>
      </c>
      <c r="H47" s="19" t="str">
        <f>IF(C47="","",CHOOSE(MATCH(ModePaliers,{"Par tranche","Au taux atteint","Au taux atteint rétroactif"},0),ROUND(SUMPRODUCT((F47&gt;Seuils)*(F47-Seuils)*Ecarts)-SUMPRODUCT((E47&gt;Seuils)*(E47-Seuils)*Ecarts),2),ROUND(D47*SUMPRODUCT((F47&gt;=Seuils)*Ecarts),2),ROUND(D47*SUMPRODUCT((F47&gt;=Seuils)*Ecarts),2)+ROUND(E47*(SUMPRODUCT((F47&gt;=Seuils)*Ecarts)-SUMPRODUCT((E47&gt;=Seuils)*Ecarts)),2)))</f>
        <v/>
      </c>
      <c r="I47" s="21"/>
      <c r="J47" s="19" t="str">
        <f>IF(C47="","",ROUND(H47*IF(I47="",1,I47),2))</f>
        <v/>
      </c>
    </row>
    <row r="48" spans="1:10" x14ac:dyDescent="0.25">
      <c r="A48" s="17"/>
      <c r="B48" s="6"/>
      <c r="C48" s="18"/>
      <c r="D48" s="19" t="str">
        <f>IF(C48="","",ROUND(C48/IF(SaisieHonoraires="TTC",1+TauxTVA,1),2))</f>
        <v/>
      </c>
      <c r="E48" s="19" t="str">
        <f>IF(C48="","",CAInitial+SUM(D$5:D47))</f>
        <v/>
      </c>
      <c r="F48" s="19" t="str">
        <f>IF(C48="","",E48+D48)</f>
        <v/>
      </c>
      <c r="G48" s="20" t="str">
        <f>IF(C48="","",SUMPRODUCT((F48&gt;=Seuils)*Ecarts))</f>
        <v/>
      </c>
      <c r="H48" s="19" t="str">
        <f>IF(C48="","",CHOOSE(MATCH(ModePaliers,{"Par tranche","Au taux atteint","Au taux atteint rétroactif"},0),ROUND(SUMPRODUCT((F48&gt;Seuils)*(F48-Seuils)*Ecarts)-SUMPRODUCT((E48&gt;Seuils)*(E48-Seuils)*Ecarts),2),ROUND(D48*SUMPRODUCT((F48&gt;=Seuils)*Ecarts),2),ROUND(D48*SUMPRODUCT((F48&gt;=Seuils)*Ecarts),2)+ROUND(E48*(SUMPRODUCT((F48&gt;=Seuils)*Ecarts)-SUMPRODUCT((E48&gt;=Seuils)*Ecarts)),2)))</f>
        <v/>
      </c>
      <c r="I48" s="21"/>
      <c r="J48" s="19" t="str">
        <f>IF(C48="","",ROUND(H48*IF(I48="",1,I48),2))</f>
        <v/>
      </c>
    </row>
    <row r="49" spans="1:10" x14ac:dyDescent="0.25">
      <c r="A49" s="17"/>
      <c r="B49" s="6"/>
      <c r="C49" s="18"/>
      <c r="D49" s="19" t="str">
        <f>IF(C49="","",ROUND(C49/IF(SaisieHonoraires="TTC",1+TauxTVA,1),2))</f>
        <v/>
      </c>
      <c r="E49" s="19" t="str">
        <f>IF(C49="","",CAInitial+SUM(D$5:D48))</f>
        <v/>
      </c>
      <c r="F49" s="19" t="str">
        <f>IF(C49="","",E49+D49)</f>
        <v/>
      </c>
      <c r="G49" s="20" t="str">
        <f>IF(C49="","",SUMPRODUCT((F49&gt;=Seuils)*Ecarts))</f>
        <v/>
      </c>
      <c r="H49" s="19" t="str">
        <f>IF(C49="","",CHOOSE(MATCH(ModePaliers,{"Par tranche","Au taux atteint","Au taux atteint rétroactif"},0),ROUND(SUMPRODUCT((F49&gt;Seuils)*(F49-Seuils)*Ecarts)-SUMPRODUCT((E49&gt;Seuils)*(E49-Seuils)*Ecarts),2),ROUND(D49*SUMPRODUCT((F49&gt;=Seuils)*Ecarts),2),ROUND(D49*SUMPRODUCT((F49&gt;=Seuils)*Ecarts),2)+ROUND(E49*(SUMPRODUCT((F49&gt;=Seuils)*Ecarts)-SUMPRODUCT((E49&gt;=Seuils)*Ecarts)),2)))</f>
        <v/>
      </c>
      <c r="I49" s="21"/>
      <c r="J49" s="19" t="str">
        <f>IF(C49="","",ROUND(H49*IF(I49="",1,I49),2))</f>
        <v/>
      </c>
    </row>
    <row r="50" spans="1:10" x14ac:dyDescent="0.25">
      <c r="A50" s="17"/>
      <c r="B50" s="6"/>
      <c r="C50" s="18"/>
      <c r="D50" s="19" t="str">
        <f>IF(C50="","",ROUND(C50/IF(SaisieHonoraires="TTC",1+TauxTVA,1),2))</f>
        <v/>
      </c>
      <c r="E50" s="19" t="str">
        <f>IF(C50="","",CAInitial+SUM(D$5:D49))</f>
        <v/>
      </c>
      <c r="F50" s="19" t="str">
        <f>IF(C50="","",E50+D50)</f>
        <v/>
      </c>
      <c r="G50" s="20" t="str">
        <f>IF(C50="","",SUMPRODUCT((F50&gt;=Seuils)*Ecarts))</f>
        <v/>
      </c>
      <c r="H50" s="19" t="str">
        <f>IF(C50="","",CHOOSE(MATCH(ModePaliers,{"Par tranche","Au taux atteint","Au taux atteint rétroactif"},0),ROUND(SUMPRODUCT((F50&gt;Seuils)*(F50-Seuils)*Ecarts)-SUMPRODUCT((E50&gt;Seuils)*(E50-Seuils)*Ecarts),2),ROUND(D50*SUMPRODUCT((F50&gt;=Seuils)*Ecarts),2),ROUND(D50*SUMPRODUCT((F50&gt;=Seuils)*Ecarts),2)+ROUND(E50*(SUMPRODUCT((F50&gt;=Seuils)*Ecarts)-SUMPRODUCT((E50&gt;=Seuils)*Ecarts)),2)))</f>
        <v/>
      </c>
      <c r="I50" s="21"/>
      <c r="J50" s="19" t="str">
        <f>IF(C50="","",ROUND(H50*IF(I50="",1,I50),2))</f>
        <v/>
      </c>
    </row>
    <row r="51" spans="1:10" x14ac:dyDescent="0.25">
      <c r="A51" s="17"/>
      <c r="B51" s="6"/>
      <c r="C51" s="18"/>
      <c r="D51" s="19" t="str">
        <f>IF(C51="","",ROUND(C51/IF(SaisieHonoraires="TTC",1+TauxTVA,1),2))</f>
        <v/>
      </c>
      <c r="E51" s="19" t="str">
        <f>IF(C51="","",CAInitial+SUM(D$5:D50))</f>
        <v/>
      </c>
      <c r="F51" s="19" t="str">
        <f>IF(C51="","",E51+D51)</f>
        <v/>
      </c>
      <c r="G51" s="20" t="str">
        <f>IF(C51="","",SUMPRODUCT((F51&gt;=Seuils)*Ecarts))</f>
        <v/>
      </c>
      <c r="H51" s="19" t="str">
        <f>IF(C51="","",CHOOSE(MATCH(ModePaliers,{"Par tranche","Au taux atteint","Au taux atteint rétroactif"},0),ROUND(SUMPRODUCT((F51&gt;Seuils)*(F51-Seuils)*Ecarts)-SUMPRODUCT((E51&gt;Seuils)*(E51-Seuils)*Ecarts),2),ROUND(D51*SUMPRODUCT((F51&gt;=Seuils)*Ecarts),2),ROUND(D51*SUMPRODUCT((F51&gt;=Seuils)*Ecarts),2)+ROUND(E51*(SUMPRODUCT((F51&gt;=Seuils)*Ecarts)-SUMPRODUCT((E51&gt;=Seuils)*Ecarts)),2)))</f>
        <v/>
      </c>
      <c r="I51" s="21"/>
      <c r="J51" s="19" t="str">
        <f>IF(C51="","",ROUND(H51*IF(I51="",1,I51),2))</f>
        <v/>
      </c>
    </row>
    <row r="52" spans="1:10" x14ac:dyDescent="0.25">
      <c r="A52" s="17"/>
      <c r="B52" s="6"/>
      <c r="C52" s="18"/>
      <c r="D52" s="19" t="str">
        <f>IF(C52="","",ROUND(C52/IF(SaisieHonoraires="TTC",1+TauxTVA,1),2))</f>
        <v/>
      </c>
      <c r="E52" s="19" t="str">
        <f>IF(C52="","",CAInitial+SUM(D$5:D51))</f>
        <v/>
      </c>
      <c r="F52" s="19" t="str">
        <f>IF(C52="","",E52+D52)</f>
        <v/>
      </c>
      <c r="G52" s="20" t="str">
        <f>IF(C52="","",SUMPRODUCT((F52&gt;=Seuils)*Ecarts))</f>
        <v/>
      </c>
      <c r="H52" s="19" t="str">
        <f>IF(C52="","",CHOOSE(MATCH(ModePaliers,{"Par tranche","Au taux atteint","Au taux atteint rétroactif"},0),ROUND(SUMPRODUCT((F52&gt;Seuils)*(F52-Seuils)*Ecarts)-SUMPRODUCT((E52&gt;Seuils)*(E52-Seuils)*Ecarts),2),ROUND(D52*SUMPRODUCT((F52&gt;=Seuils)*Ecarts),2),ROUND(D52*SUMPRODUCT((F52&gt;=Seuils)*Ecarts),2)+ROUND(E52*(SUMPRODUCT((F52&gt;=Seuils)*Ecarts)-SUMPRODUCT((E52&gt;=Seuils)*Ecarts)),2)))</f>
        <v/>
      </c>
      <c r="I52" s="21"/>
      <c r="J52" s="19" t="str">
        <f>IF(C52="","",ROUND(H52*IF(I52="",1,I52),2))</f>
        <v/>
      </c>
    </row>
    <row r="53" spans="1:10" x14ac:dyDescent="0.25">
      <c r="A53" s="17"/>
      <c r="B53" s="6"/>
      <c r="C53" s="18"/>
      <c r="D53" s="19" t="str">
        <f>IF(C53="","",ROUND(C53/IF(SaisieHonoraires="TTC",1+TauxTVA,1),2))</f>
        <v/>
      </c>
      <c r="E53" s="19" t="str">
        <f>IF(C53="","",CAInitial+SUM(D$5:D52))</f>
        <v/>
      </c>
      <c r="F53" s="19" t="str">
        <f>IF(C53="","",E53+D53)</f>
        <v/>
      </c>
      <c r="G53" s="20" t="str">
        <f>IF(C53="","",SUMPRODUCT((F53&gt;=Seuils)*Ecarts))</f>
        <v/>
      </c>
      <c r="H53" s="19" t="str">
        <f>IF(C53="","",CHOOSE(MATCH(ModePaliers,{"Par tranche","Au taux atteint","Au taux atteint rétroactif"},0),ROUND(SUMPRODUCT((F53&gt;Seuils)*(F53-Seuils)*Ecarts)-SUMPRODUCT((E53&gt;Seuils)*(E53-Seuils)*Ecarts),2),ROUND(D53*SUMPRODUCT((F53&gt;=Seuils)*Ecarts),2),ROUND(D53*SUMPRODUCT((F53&gt;=Seuils)*Ecarts),2)+ROUND(E53*(SUMPRODUCT((F53&gt;=Seuils)*Ecarts)-SUMPRODUCT((E53&gt;=Seuils)*Ecarts)),2)))</f>
        <v/>
      </c>
      <c r="I53" s="21"/>
      <c r="J53" s="19" t="str">
        <f>IF(C53="","",ROUND(H53*IF(I53="",1,I53),2))</f>
        <v/>
      </c>
    </row>
    <row r="54" spans="1:10" x14ac:dyDescent="0.25">
      <c r="A54" s="17"/>
      <c r="B54" s="6"/>
      <c r="C54" s="18"/>
      <c r="D54" s="19" t="str">
        <f>IF(C54="","",ROUND(C54/IF(SaisieHonoraires="TTC",1+TauxTVA,1),2))</f>
        <v/>
      </c>
      <c r="E54" s="19" t="str">
        <f>IF(C54="","",CAInitial+SUM(D$5:D53))</f>
        <v/>
      </c>
      <c r="F54" s="19" t="str">
        <f>IF(C54="","",E54+D54)</f>
        <v/>
      </c>
      <c r="G54" s="20" t="str">
        <f>IF(C54="","",SUMPRODUCT((F54&gt;=Seuils)*Ecarts))</f>
        <v/>
      </c>
      <c r="H54" s="19" t="str">
        <f>IF(C54="","",CHOOSE(MATCH(ModePaliers,{"Par tranche","Au taux atteint","Au taux atteint rétroactif"},0),ROUND(SUMPRODUCT((F54&gt;Seuils)*(F54-Seuils)*Ecarts)-SUMPRODUCT((E54&gt;Seuils)*(E54-Seuils)*Ecarts),2),ROUND(D54*SUMPRODUCT((F54&gt;=Seuils)*Ecarts),2),ROUND(D54*SUMPRODUCT((F54&gt;=Seuils)*Ecarts),2)+ROUND(E54*(SUMPRODUCT((F54&gt;=Seuils)*Ecarts)-SUMPRODUCT((E54&gt;=Seuils)*Ecarts)),2)))</f>
        <v/>
      </c>
      <c r="I54" s="21"/>
      <c r="J54" s="19" t="str">
        <f>IF(C54="","",ROUND(H54*IF(I54="",1,I54),2))</f>
        <v/>
      </c>
    </row>
    <row r="55" spans="1:10" x14ac:dyDescent="0.25">
      <c r="A55" s="17"/>
      <c r="B55" s="6"/>
      <c r="C55" s="18"/>
      <c r="D55" s="19" t="str">
        <f>IF(C55="","",ROUND(C55/IF(SaisieHonoraires="TTC",1+TauxTVA,1),2))</f>
        <v/>
      </c>
      <c r="E55" s="19" t="str">
        <f>IF(C55="","",CAInitial+SUM(D$5:D54))</f>
        <v/>
      </c>
      <c r="F55" s="19" t="str">
        <f>IF(C55="","",E55+D55)</f>
        <v/>
      </c>
      <c r="G55" s="20" t="str">
        <f>IF(C55="","",SUMPRODUCT((F55&gt;=Seuils)*Ecarts))</f>
        <v/>
      </c>
      <c r="H55" s="19" t="str">
        <f>IF(C55="","",CHOOSE(MATCH(ModePaliers,{"Par tranche","Au taux atteint","Au taux atteint rétroactif"},0),ROUND(SUMPRODUCT((F55&gt;Seuils)*(F55-Seuils)*Ecarts)-SUMPRODUCT((E55&gt;Seuils)*(E55-Seuils)*Ecarts),2),ROUND(D55*SUMPRODUCT((F55&gt;=Seuils)*Ecarts),2),ROUND(D55*SUMPRODUCT((F55&gt;=Seuils)*Ecarts),2)+ROUND(E55*(SUMPRODUCT((F55&gt;=Seuils)*Ecarts)-SUMPRODUCT((E55&gt;=Seuils)*Ecarts)),2)))</f>
        <v/>
      </c>
      <c r="I55" s="21"/>
      <c r="J55" s="19" t="str">
        <f>IF(C55="","",ROUND(H55*IF(I55="",1,I55),2))</f>
        <v/>
      </c>
    </row>
    <row r="56" spans="1:10" x14ac:dyDescent="0.25">
      <c r="A56" s="17"/>
      <c r="B56" s="6"/>
      <c r="C56" s="18"/>
      <c r="D56" s="19" t="str">
        <f>IF(C56="","",ROUND(C56/IF(SaisieHonoraires="TTC",1+TauxTVA,1),2))</f>
        <v/>
      </c>
      <c r="E56" s="19" t="str">
        <f>IF(C56="","",CAInitial+SUM(D$5:D55))</f>
        <v/>
      </c>
      <c r="F56" s="19" t="str">
        <f>IF(C56="","",E56+D56)</f>
        <v/>
      </c>
      <c r="G56" s="20" t="str">
        <f>IF(C56="","",SUMPRODUCT((F56&gt;=Seuils)*Ecarts))</f>
        <v/>
      </c>
      <c r="H56" s="19" t="str">
        <f>IF(C56="","",CHOOSE(MATCH(ModePaliers,{"Par tranche","Au taux atteint","Au taux atteint rétroactif"},0),ROUND(SUMPRODUCT((F56&gt;Seuils)*(F56-Seuils)*Ecarts)-SUMPRODUCT((E56&gt;Seuils)*(E56-Seuils)*Ecarts),2),ROUND(D56*SUMPRODUCT((F56&gt;=Seuils)*Ecarts),2),ROUND(D56*SUMPRODUCT((F56&gt;=Seuils)*Ecarts),2)+ROUND(E56*(SUMPRODUCT((F56&gt;=Seuils)*Ecarts)-SUMPRODUCT((E56&gt;=Seuils)*Ecarts)),2)))</f>
        <v/>
      </c>
      <c r="I56" s="21"/>
      <c r="J56" s="19" t="str">
        <f>IF(C56="","",ROUND(H56*IF(I56="",1,I56),2))</f>
        <v/>
      </c>
    </row>
    <row r="57" spans="1:10" x14ac:dyDescent="0.25">
      <c r="A57" s="17"/>
      <c r="B57" s="6"/>
      <c r="C57" s="18"/>
      <c r="D57" s="19" t="str">
        <f>IF(C57="","",ROUND(C57/IF(SaisieHonoraires="TTC",1+TauxTVA,1),2))</f>
        <v/>
      </c>
      <c r="E57" s="19" t="str">
        <f>IF(C57="","",CAInitial+SUM(D$5:D56))</f>
        <v/>
      </c>
      <c r="F57" s="19" t="str">
        <f>IF(C57="","",E57+D57)</f>
        <v/>
      </c>
      <c r="G57" s="20" t="str">
        <f>IF(C57="","",SUMPRODUCT((F57&gt;=Seuils)*Ecarts))</f>
        <v/>
      </c>
      <c r="H57" s="19" t="str">
        <f>IF(C57="","",CHOOSE(MATCH(ModePaliers,{"Par tranche","Au taux atteint","Au taux atteint rétroactif"},0),ROUND(SUMPRODUCT((F57&gt;Seuils)*(F57-Seuils)*Ecarts)-SUMPRODUCT((E57&gt;Seuils)*(E57-Seuils)*Ecarts),2),ROUND(D57*SUMPRODUCT((F57&gt;=Seuils)*Ecarts),2),ROUND(D57*SUMPRODUCT((F57&gt;=Seuils)*Ecarts),2)+ROUND(E57*(SUMPRODUCT((F57&gt;=Seuils)*Ecarts)-SUMPRODUCT((E57&gt;=Seuils)*Ecarts)),2)))</f>
        <v/>
      </c>
      <c r="I57" s="21"/>
      <c r="J57" s="19" t="str">
        <f>IF(C57="","",ROUND(H57*IF(I57="",1,I57),2))</f>
        <v/>
      </c>
    </row>
    <row r="58" spans="1:10" x14ac:dyDescent="0.25">
      <c r="A58" s="17"/>
      <c r="B58" s="6"/>
      <c r="C58" s="18"/>
      <c r="D58" s="19" t="str">
        <f>IF(C58="","",ROUND(C58/IF(SaisieHonoraires="TTC",1+TauxTVA,1),2))</f>
        <v/>
      </c>
      <c r="E58" s="19" t="str">
        <f>IF(C58="","",CAInitial+SUM(D$5:D57))</f>
        <v/>
      </c>
      <c r="F58" s="19" t="str">
        <f>IF(C58="","",E58+D58)</f>
        <v/>
      </c>
      <c r="G58" s="20" t="str">
        <f>IF(C58="","",SUMPRODUCT((F58&gt;=Seuils)*Ecarts))</f>
        <v/>
      </c>
      <c r="H58" s="19" t="str">
        <f>IF(C58="","",CHOOSE(MATCH(ModePaliers,{"Par tranche","Au taux atteint","Au taux atteint rétroactif"},0),ROUND(SUMPRODUCT((F58&gt;Seuils)*(F58-Seuils)*Ecarts)-SUMPRODUCT((E58&gt;Seuils)*(E58-Seuils)*Ecarts),2),ROUND(D58*SUMPRODUCT((F58&gt;=Seuils)*Ecarts),2),ROUND(D58*SUMPRODUCT((F58&gt;=Seuils)*Ecarts),2)+ROUND(E58*(SUMPRODUCT((F58&gt;=Seuils)*Ecarts)-SUMPRODUCT((E58&gt;=Seuils)*Ecarts)),2)))</f>
        <v/>
      </c>
      <c r="I58" s="21"/>
      <c r="J58" s="19" t="str">
        <f>IF(C58="","",ROUND(H58*IF(I58="",1,I58),2))</f>
        <v/>
      </c>
    </row>
    <row r="59" spans="1:10" x14ac:dyDescent="0.25">
      <c r="A59" s="17"/>
      <c r="B59" s="6"/>
      <c r="C59" s="18"/>
      <c r="D59" s="19" t="str">
        <f>IF(C59="","",ROUND(C59/IF(SaisieHonoraires="TTC",1+TauxTVA,1),2))</f>
        <v/>
      </c>
      <c r="E59" s="19" t="str">
        <f>IF(C59="","",CAInitial+SUM(D$5:D58))</f>
        <v/>
      </c>
      <c r="F59" s="19" t="str">
        <f>IF(C59="","",E59+D59)</f>
        <v/>
      </c>
      <c r="G59" s="20" t="str">
        <f>IF(C59="","",SUMPRODUCT((F59&gt;=Seuils)*Ecarts))</f>
        <v/>
      </c>
      <c r="H59" s="19" t="str">
        <f>IF(C59="","",CHOOSE(MATCH(ModePaliers,{"Par tranche","Au taux atteint","Au taux atteint rétroactif"},0),ROUND(SUMPRODUCT((F59&gt;Seuils)*(F59-Seuils)*Ecarts)-SUMPRODUCT((E59&gt;Seuils)*(E59-Seuils)*Ecarts),2),ROUND(D59*SUMPRODUCT((F59&gt;=Seuils)*Ecarts),2),ROUND(D59*SUMPRODUCT((F59&gt;=Seuils)*Ecarts),2)+ROUND(E59*(SUMPRODUCT((F59&gt;=Seuils)*Ecarts)-SUMPRODUCT((E59&gt;=Seuils)*Ecarts)),2)))</f>
        <v/>
      </c>
      <c r="I59" s="21"/>
      <c r="J59" s="19" t="str">
        <f>IF(C59="","",ROUND(H59*IF(I59="",1,I59),2))</f>
        <v/>
      </c>
    </row>
    <row r="60" spans="1:10" x14ac:dyDescent="0.25">
      <c r="A60" s="17"/>
      <c r="B60" s="6"/>
      <c r="C60" s="18"/>
      <c r="D60" s="19" t="str">
        <f>IF(C60="","",ROUND(C60/IF(SaisieHonoraires="TTC",1+TauxTVA,1),2))</f>
        <v/>
      </c>
      <c r="E60" s="19" t="str">
        <f>IF(C60="","",CAInitial+SUM(D$5:D59))</f>
        <v/>
      </c>
      <c r="F60" s="19" t="str">
        <f>IF(C60="","",E60+D60)</f>
        <v/>
      </c>
      <c r="G60" s="20" t="str">
        <f>IF(C60="","",SUMPRODUCT((F60&gt;=Seuils)*Ecarts))</f>
        <v/>
      </c>
      <c r="H60" s="19" t="str">
        <f>IF(C60="","",CHOOSE(MATCH(ModePaliers,{"Par tranche","Au taux atteint","Au taux atteint rétroactif"},0),ROUND(SUMPRODUCT((F60&gt;Seuils)*(F60-Seuils)*Ecarts)-SUMPRODUCT((E60&gt;Seuils)*(E60-Seuils)*Ecarts),2),ROUND(D60*SUMPRODUCT((F60&gt;=Seuils)*Ecarts),2),ROUND(D60*SUMPRODUCT((F60&gt;=Seuils)*Ecarts),2)+ROUND(E60*(SUMPRODUCT((F60&gt;=Seuils)*Ecarts)-SUMPRODUCT((E60&gt;=Seuils)*Ecarts)),2)))</f>
        <v/>
      </c>
      <c r="I60" s="21"/>
      <c r="J60" s="19" t="str">
        <f>IF(C60="","",ROUND(H60*IF(I60="",1,I60),2))</f>
        <v/>
      </c>
    </row>
    <row r="61" spans="1:10" x14ac:dyDescent="0.25">
      <c r="A61" s="17"/>
      <c r="B61" s="6"/>
      <c r="C61" s="18"/>
      <c r="D61" s="19" t="str">
        <f>IF(C61="","",ROUND(C61/IF(SaisieHonoraires="TTC",1+TauxTVA,1),2))</f>
        <v/>
      </c>
      <c r="E61" s="19" t="str">
        <f>IF(C61="","",CAInitial+SUM(D$5:D60))</f>
        <v/>
      </c>
      <c r="F61" s="19" t="str">
        <f>IF(C61="","",E61+D61)</f>
        <v/>
      </c>
      <c r="G61" s="20" t="str">
        <f>IF(C61="","",SUMPRODUCT((F61&gt;=Seuils)*Ecarts))</f>
        <v/>
      </c>
      <c r="H61" s="19" t="str">
        <f>IF(C61="","",CHOOSE(MATCH(ModePaliers,{"Par tranche","Au taux atteint","Au taux atteint rétroactif"},0),ROUND(SUMPRODUCT((F61&gt;Seuils)*(F61-Seuils)*Ecarts)-SUMPRODUCT((E61&gt;Seuils)*(E61-Seuils)*Ecarts),2),ROUND(D61*SUMPRODUCT((F61&gt;=Seuils)*Ecarts),2),ROUND(D61*SUMPRODUCT((F61&gt;=Seuils)*Ecarts),2)+ROUND(E61*(SUMPRODUCT((F61&gt;=Seuils)*Ecarts)-SUMPRODUCT((E61&gt;=Seuils)*Ecarts)),2)))</f>
        <v/>
      </c>
      <c r="I61" s="21"/>
      <c r="J61" s="19" t="str">
        <f>IF(C61="","",ROUND(H61*IF(I61="",1,I61),2))</f>
        <v/>
      </c>
    </row>
    <row r="62" spans="1:10" x14ac:dyDescent="0.25">
      <c r="A62" s="17"/>
      <c r="B62" s="6"/>
      <c r="C62" s="18"/>
      <c r="D62" s="19" t="str">
        <f>IF(C62="","",ROUND(C62/IF(SaisieHonoraires="TTC",1+TauxTVA,1),2))</f>
        <v/>
      </c>
      <c r="E62" s="19" t="str">
        <f>IF(C62="","",CAInitial+SUM(D$5:D61))</f>
        <v/>
      </c>
      <c r="F62" s="19" t="str">
        <f>IF(C62="","",E62+D62)</f>
        <v/>
      </c>
      <c r="G62" s="20" t="str">
        <f>IF(C62="","",SUMPRODUCT((F62&gt;=Seuils)*Ecarts))</f>
        <v/>
      </c>
      <c r="H62" s="19" t="str">
        <f>IF(C62="","",CHOOSE(MATCH(ModePaliers,{"Par tranche","Au taux atteint","Au taux atteint rétroactif"},0),ROUND(SUMPRODUCT((F62&gt;Seuils)*(F62-Seuils)*Ecarts)-SUMPRODUCT((E62&gt;Seuils)*(E62-Seuils)*Ecarts),2),ROUND(D62*SUMPRODUCT((F62&gt;=Seuils)*Ecarts),2),ROUND(D62*SUMPRODUCT((F62&gt;=Seuils)*Ecarts),2)+ROUND(E62*(SUMPRODUCT((F62&gt;=Seuils)*Ecarts)-SUMPRODUCT((E62&gt;=Seuils)*Ecarts)),2)))</f>
        <v/>
      </c>
      <c r="I62" s="21"/>
      <c r="J62" s="19" t="str">
        <f>IF(C62="","",ROUND(H62*IF(I62="",1,I62),2))</f>
        <v/>
      </c>
    </row>
    <row r="63" spans="1:10" x14ac:dyDescent="0.25">
      <c r="A63" s="17"/>
      <c r="B63" s="6"/>
      <c r="C63" s="18"/>
      <c r="D63" s="19" t="str">
        <f>IF(C63="","",ROUND(C63/IF(SaisieHonoraires="TTC",1+TauxTVA,1),2))</f>
        <v/>
      </c>
      <c r="E63" s="19" t="str">
        <f>IF(C63="","",CAInitial+SUM(D$5:D62))</f>
        <v/>
      </c>
      <c r="F63" s="19" t="str">
        <f>IF(C63="","",E63+D63)</f>
        <v/>
      </c>
      <c r="G63" s="20" t="str">
        <f>IF(C63="","",SUMPRODUCT((F63&gt;=Seuils)*Ecarts))</f>
        <v/>
      </c>
      <c r="H63" s="19" t="str">
        <f>IF(C63="","",CHOOSE(MATCH(ModePaliers,{"Par tranche","Au taux atteint","Au taux atteint rétroactif"},0),ROUND(SUMPRODUCT((F63&gt;Seuils)*(F63-Seuils)*Ecarts)-SUMPRODUCT((E63&gt;Seuils)*(E63-Seuils)*Ecarts),2),ROUND(D63*SUMPRODUCT((F63&gt;=Seuils)*Ecarts),2),ROUND(D63*SUMPRODUCT((F63&gt;=Seuils)*Ecarts),2)+ROUND(E63*(SUMPRODUCT((F63&gt;=Seuils)*Ecarts)-SUMPRODUCT((E63&gt;=Seuils)*Ecarts)),2)))</f>
        <v/>
      </c>
      <c r="I63" s="21"/>
      <c r="J63" s="19" t="str">
        <f>IF(C63="","",ROUND(H63*IF(I63="",1,I63),2))</f>
        <v/>
      </c>
    </row>
    <row r="64" spans="1:10" x14ac:dyDescent="0.25">
      <c r="A64" s="17"/>
      <c r="B64" s="6"/>
      <c r="C64" s="18"/>
      <c r="D64" s="19" t="str">
        <f>IF(C64="","",ROUND(C64/IF(SaisieHonoraires="TTC",1+TauxTVA,1),2))</f>
        <v/>
      </c>
      <c r="E64" s="19" t="str">
        <f>IF(C64="","",CAInitial+SUM(D$5:D63))</f>
        <v/>
      </c>
      <c r="F64" s="19" t="str">
        <f>IF(C64="","",E64+D64)</f>
        <v/>
      </c>
      <c r="G64" s="20" t="str">
        <f>IF(C64="","",SUMPRODUCT((F64&gt;=Seuils)*Ecarts))</f>
        <v/>
      </c>
      <c r="H64" s="19" t="str">
        <f>IF(C64="","",CHOOSE(MATCH(ModePaliers,{"Par tranche","Au taux atteint","Au taux atteint rétroactif"},0),ROUND(SUMPRODUCT((F64&gt;Seuils)*(F64-Seuils)*Ecarts)-SUMPRODUCT((E64&gt;Seuils)*(E64-Seuils)*Ecarts),2),ROUND(D64*SUMPRODUCT((F64&gt;=Seuils)*Ecarts),2),ROUND(D64*SUMPRODUCT((F64&gt;=Seuils)*Ecarts),2)+ROUND(E64*(SUMPRODUCT((F64&gt;=Seuils)*Ecarts)-SUMPRODUCT((E64&gt;=Seuils)*Ecarts)),2)))</f>
        <v/>
      </c>
      <c r="I64" s="21"/>
      <c r="J64" s="19" t="str">
        <f>IF(C64="","",ROUND(H64*IF(I64="",1,I64),2))</f>
        <v/>
      </c>
    </row>
    <row r="65" spans="1:10" x14ac:dyDescent="0.25">
      <c r="A65" s="17"/>
      <c r="B65" s="6"/>
      <c r="C65" s="18"/>
      <c r="D65" s="19" t="str">
        <f>IF(C65="","",ROUND(C65/IF(SaisieHonoraires="TTC",1+TauxTVA,1),2))</f>
        <v/>
      </c>
      <c r="E65" s="19" t="str">
        <f>IF(C65="","",CAInitial+SUM(D$5:D64))</f>
        <v/>
      </c>
      <c r="F65" s="19" t="str">
        <f>IF(C65="","",E65+D65)</f>
        <v/>
      </c>
      <c r="G65" s="20" t="str">
        <f>IF(C65="","",SUMPRODUCT((F65&gt;=Seuils)*Ecarts))</f>
        <v/>
      </c>
      <c r="H65" s="19" t="str">
        <f>IF(C65="","",CHOOSE(MATCH(ModePaliers,{"Par tranche","Au taux atteint","Au taux atteint rétroactif"},0),ROUND(SUMPRODUCT((F65&gt;Seuils)*(F65-Seuils)*Ecarts)-SUMPRODUCT((E65&gt;Seuils)*(E65-Seuils)*Ecarts),2),ROUND(D65*SUMPRODUCT((F65&gt;=Seuils)*Ecarts),2),ROUND(D65*SUMPRODUCT((F65&gt;=Seuils)*Ecarts),2)+ROUND(E65*(SUMPRODUCT((F65&gt;=Seuils)*Ecarts)-SUMPRODUCT((E65&gt;=Seuils)*Ecarts)),2)))</f>
        <v/>
      </c>
      <c r="I65" s="21"/>
      <c r="J65" s="19" t="str">
        <f>IF(C65="","",ROUND(H65*IF(I65="",1,I65),2))</f>
        <v/>
      </c>
    </row>
    <row r="66" spans="1:10" x14ac:dyDescent="0.25">
      <c r="A66" s="17"/>
      <c r="B66" s="6"/>
      <c r="C66" s="18"/>
      <c r="D66" s="19" t="str">
        <f>IF(C66="","",ROUND(C66/IF(SaisieHonoraires="TTC",1+TauxTVA,1),2))</f>
        <v/>
      </c>
      <c r="E66" s="19" t="str">
        <f>IF(C66="","",CAInitial+SUM(D$5:D65))</f>
        <v/>
      </c>
      <c r="F66" s="19" t="str">
        <f>IF(C66="","",E66+D66)</f>
        <v/>
      </c>
      <c r="G66" s="20" t="str">
        <f>IF(C66="","",SUMPRODUCT((F66&gt;=Seuils)*Ecarts))</f>
        <v/>
      </c>
      <c r="H66" s="19" t="str">
        <f>IF(C66="","",CHOOSE(MATCH(ModePaliers,{"Par tranche","Au taux atteint","Au taux atteint rétroactif"},0),ROUND(SUMPRODUCT((F66&gt;Seuils)*(F66-Seuils)*Ecarts)-SUMPRODUCT((E66&gt;Seuils)*(E66-Seuils)*Ecarts),2),ROUND(D66*SUMPRODUCT((F66&gt;=Seuils)*Ecarts),2),ROUND(D66*SUMPRODUCT((F66&gt;=Seuils)*Ecarts),2)+ROUND(E66*(SUMPRODUCT((F66&gt;=Seuils)*Ecarts)-SUMPRODUCT((E66&gt;=Seuils)*Ecarts)),2)))</f>
        <v/>
      </c>
      <c r="I66" s="21"/>
      <c r="J66" s="19" t="str">
        <f>IF(C66="","",ROUND(H66*IF(I66="",1,I66),2))</f>
        <v/>
      </c>
    </row>
    <row r="67" spans="1:10" x14ac:dyDescent="0.25">
      <c r="A67" s="17"/>
      <c r="B67" s="6"/>
      <c r="C67" s="18"/>
      <c r="D67" s="19" t="str">
        <f>IF(C67="","",ROUND(C67/IF(SaisieHonoraires="TTC",1+TauxTVA,1),2))</f>
        <v/>
      </c>
      <c r="E67" s="19" t="str">
        <f>IF(C67="","",CAInitial+SUM(D$5:D66))</f>
        <v/>
      </c>
      <c r="F67" s="19" t="str">
        <f>IF(C67="","",E67+D67)</f>
        <v/>
      </c>
      <c r="G67" s="20" t="str">
        <f>IF(C67="","",SUMPRODUCT((F67&gt;=Seuils)*Ecarts))</f>
        <v/>
      </c>
      <c r="H67" s="19" t="str">
        <f>IF(C67="","",CHOOSE(MATCH(ModePaliers,{"Par tranche","Au taux atteint","Au taux atteint rétroactif"},0),ROUND(SUMPRODUCT((F67&gt;Seuils)*(F67-Seuils)*Ecarts)-SUMPRODUCT((E67&gt;Seuils)*(E67-Seuils)*Ecarts),2),ROUND(D67*SUMPRODUCT((F67&gt;=Seuils)*Ecarts),2),ROUND(D67*SUMPRODUCT((F67&gt;=Seuils)*Ecarts),2)+ROUND(E67*(SUMPRODUCT((F67&gt;=Seuils)*Ecarts)-SUMPRODUCT((E67&gt;=Seuils)*Ecarts)),2)))</f>
        <v/>
      </c>
      <c r="I67" s="21"/>
      <c r="J67" s="19" t="str">
        <f>IF(C67="","",ROUND(H67*IF(I67="",1,I67),2))</f>
        <v/>
      </c>
    </row>
    <row r="68" spans="1:10" x14ac:dyDescent="0.25">
      <c r="A68" s="17"/>
      <c r="B68" s="6"/>
      <c r="C68" s="18"/>
      <c r="D68" s="19" t="str">
        <f>IF(C68="","",ROUND(C68/IF(SaisieHonoraires="TTC",1+TauxTVA,1),2))</f>
        <v/>
      </c>
      <c r="E68" s="19" t="str">
        <f>IF(C68="","",CAInitial+SUM(D$5:D67))</f>
        <v/>
      </c>
      <c r="F68" s="19" t="str">
        <f>IF(C68="","",E68+D68)</f>
        <v/>
      </c>
      <c r="G68" s="20" t="str">
        <f>IF(C68="","",SUMPRODUCT((F68&gt;=Seuils)*Ecarts))</f>
        <v/>
      </c>
      <c r="H68" s="19" t="str">
        <f>IF(C68="","",CHOOSE(MATCH(ModePaliers,{"Par tranche","Au taux atteint","Au taux atteint rétroactif"},0),ROUND(SUMPRODUCT((F68&gt;Seuils)*(F68-Seuils)*Ecarts)-SUMPRODUCT((E68&gt;Seuils)*(E68-Seuils)*Ecarts),2),ROUND(D68*SUMPRODUCT((F68&gt;=Seuils)*Ecarts),2),ROUND(D68*SUMPRODUCT((F68&gt;=Seuils)*Ecarts),2)+ROUND(E68*(SUMPRODUCT((F68&gt;=Seuils)*Ecarts)-SUMPRODUCT((E68&gt;=Seuils)*Ecarts)),2)))</f>
        <v/>
      </c>
      <c r="I68" s="21"/>
      <c r="J68" s="19" t="str">
        <f>IF(C68="","",ROUND(H68*IF(I68="",1,I68),2))</f>
        <v/>
      </c>
    </row>
    <row r="69" spans="1:10" x14ac:dyDescent="0.25">
      <c r="A69" s="17"/>
      <c r="B69" s="6"/>
      <c r="C69" s="18"/>
      <c r="D69" s="19" t="str">
        <f>IF(C69="","",ROUND(C69/IF(SaisieHonoraires="TTC",1+TauxTVA,1),2))</f>
        <v/>
      </c>
      <c r="E69" s="19" t="str">
        <f>IF(C69="","",CAInitial+SUM(D$5:D68))</f>
        <v/>
      </c>
      <c r="F69" s="19" t="str">
        <f>IF(C69="","",E69+D69)</f>
        <v/>
      </c>
      <c r="G69" s="20" t="str">
        <f>IF(C69="","",SUMPRODUCT((F69&gt;=Seuils)*Ecarts))</f>
        <v/>
      </c>
      <c r="H69" s="19" t="str">
        <f>IF(C69="","",CHOOSE(MATCH(ModePaliers,{"Par tranche","Au taux atteint","Au taux atteint rétroactif"},0),ROUND(SUMPRODUCT((F69&gt;Seuils)*(F69-Seuils)*Ecarts)-SUMPRODUCT((E69&gt;Seuils)*(E69-Seuils)*Ecarts),2),ROUND(D69*SUMPRODUCT((F69&gt;=Seuils)*Ecarts),2),ROUND(D69*SUMPRODUCT((F69&gt;=Seuils)*Ecarts),2)+ROUND(E69*(SUMPRODUCT((F69&gt;=Seuils)*Ecarts)-SUMPRODUCT((E69&gt;=Seuils)*Ecarts)),2)))</f>
        <v/>
      </c>
      <c r="I69" s="21"/>
      <c r="J69" s="19" t="str">
        <f>IF(C69="","",ROUND(H69*IF(I69="",1,I69),2))</f>
        <v/>
      </c>
    </row>
    <row r="70" spans="1:10" x14ac:dyDescent="0.25">
      <c r="A70" s="17"/>
      <c r="B70" s="6"/>
      <c r="C70" s="18"/>
      <c r="D70" s="19" t="str">
        <f>IF(C70="","",ROUND(C70/IF(SaisieHonoraires="TTC",1+TauxTVA,1),2))</f>
        <v/>
      </c>
      <c r="E70" s="19" t="str">
        <f>IF(C70="","",CAInitial+SUM(D$5:D69))</f>
        <v/>
      </c>
      <c r="F70" s="19" t="str">
        <f>IF(C70="","",E70+D70)</f>
        <v/>
      </c>
      <c r="G70" s="20" t="str">
        <f>IF(C70="","",SUMPRODUCT((F70&gt;=Seuils)*Ecarts))</f>
        <v/>
      </c>
      <c r="H70" s="19" t="str">
        <f>IF(C70="","",CHOOSE(MATCH(ModePaliers,{"Par tranche","Au taux atteint","Au taux atteint rétroactif"},0),ROUND(SUMPRODUCT((F70&gt;Seuils)*(F70-Seuils)*Ecarts)-SUMPRODUCT((E70&gt;Seuils)*(E70-Seuils)*Ecarts),2),ROUND(D70*SUMPRODUCT((F70&gt;=Seuils)*Ecarts),2),ROUND(D70*SUMPRODUCT((F70&gt;=Seuils)*Ecarts),2)+ROUND(E70*(SUMPRODUCT((F70&gt;=Seuils)*Ecarts)-SUMPRODUCT((E70&gt;=Seuils)*Ecarts)),2)))</f>
        <v/>
      </c>
      <c r="I70" s="21"/>
      <c r="J70" s="19" t="str">
        <f>IF(C70="","",ROUND(H70*IF(I70="",1,I70),2))</f>
        <v/>
      </c>
    </row>
    <row r="71" spans="1:10" x14ac:dyDescent="0.25">
      <c r="A71" s="17"/>
      <c r="B71" s="6"/>
      <c r="C71" s="18"/>
      <c r="D71" s="19" t="str">
        <f>IF(C71="","",ROUND(C71/IF(SaisieHonoraires="TTC",1+TauxTVA,1),2))</f>
        <v/>
      </c>
      <c r="E71" s="19" t="str">
        <f>IF(C71="","",CAInitial+SUM(D$5:D70))</f>
        <v/>
      </c>
      <c r="F71" s="19" t="str">
        <f>IF(C71="","",E71+D71)</f>
        <v/>
      </c>
      <c r="G71" s="20" t="str">
        <f>IF(C71="","",SUMPRODUCT((F71&gt;=Seuils)*Ecarts))</f>
        <v/>
      </c>
      <c r="H71" s="19" t="str">
        <f>IF(C71="","",CHOOSE(MATCH(ModePaliers,{"Par tranche","Au taux atteint","Au taux atteint rétroactif"},0),ROUND(SUMPRODUCT((F71&gt;Seuils)*(F71-Seuils)*Ecarts)-SUMPRODUCT((E71&gt;Seuils)*(E71-Seuils)*Ecarts),2),ROUND(D71*SUMPRODUCT((F71&gt;=Seuils)*Ecarts),2),ROUND(D71*SUMPRODUCT((F71&gt;=Seuils)*Ecarts),2)+ROUND(E71*(SUMPRODUCT((F71&gt;=Seuils)*Ecarts)-SUMPRODUCT((E71&gt;=Seuils)*Ecarts)),2)))</f>
        <v/>
      </c>
      <c r="I71" s="21"/>
      <c r="J71" s="19" t="str">
        <f>IF(C71="","",ROUND(H71*IF(I71="",1,I71),2))</f>
        <v/>
      </c>
    </row>
    <row r="72" spans="1:10" x14ac:dyDescent="0.25">
      <c r="A72" s="17"/>
      <c r="B72" s="6"/>
      <c r="C72" s="18"/>
      <c r="D72" s="19" t="str">
        <f>IF(C72="","",ROUND(C72/IF(SaisieHonoraires="TTC",1+TauxTVA,1),2))</f>
        <v/>
      </c>
      <c r="E72" s="19" t="str">
        <f>IF(C72="","",CAInitial+SUM(D$5:D71))</f>
        <v/>
      </c>
      <c r="F72" s="19" t="str">
        <f>IF(C72="","",E72+D72)</f>
        <v/>
      </c>
      <c r="G72" s="20" t="str">
        <f>IF(C72="","",SUMPRODUCT((F72&gt;=Seuils)*Ecarts))</f>
        <v/>
      </c>
      <c r="H72" s="19" t="str">
        <f>IF(C72="","",CHOOSE(MATCH(ModePaliers,{"Par tranche","Au taux atteint","Au taux atteint rétroactif"},0),ROUND(SUMPRODUCT((F72&gt;Seuils)*(F72-Seuils)*Ecarts)-SUMPRODUCT((E72&gt;Seuils)*(E72-Seuils)*Ecarts),2),ROUND(D72*SUMPRODUCT((F72&gt;=Seuils)*Ecarts),2),ROUND(D72*SUMPRODUCT((F72&gt;=Seuils)*Ecarts),2)+ROUND(E72*(SUMPRODUCT((F72&gt;=Seuils)*Ecarts)-SUMPRODUCT((E72&gt;=Seuils)*Ecarts)),2)))</f>
        <v/>
      </c>
      <c r="I72" s="21"/>
      <c r="J72" s="19" t="str">
        <f>IF(C72="","",ROUND(H72*IF(I72="",1,I72),2))</f>
        <v/>
      </c>
    </row>
    <row r="73" spans="1:10" x14ac:dyDescent="0.25">
      <c r="A73" s="17"/>
      <c r="B73" s="6"/>
      <c r="C73" s="18"/>
      <c r="D73" s="19" t="str">
        <f>IF(C73="","",ROUND(C73/IF(SaisieHonoraires="TTC",1+TauxTVA,1),2))</f>
        <v/>
      </c>
      <c r="E73" s="19" t="str">
        <f>IF(C73="","",CAInitial+SUM(D$5:D72))</f>
        <v/>
      </c>
      <c r="F73" s="19" t="str">
        <f>IF(C73="","",E73+D73)</f>
        <v/>
      </c>
      <c r="G73" s="20" t="str">
        <f>IF(C73="","",SUMPRODUCT((F73&gt;=Seuils)*Ecarts))</f>
        <v/>
      </c>
      <c r="H73" s="19" t="str">
        <f>IF(C73="","",CHOOSE(MATCH(ModePaliers,{"Par tranche","Au taux atteint","Au taux atteint rétroactif"},0),ROUND(SUMPRODUCT((F73&gt;Seuils)*(F73-Seuils)*Ecarts)-SUMPRODUCT((E73&gt;Seuils)*(E73-Seuils)*Ecarts),2),ROUND(D73*SUMPRODUCT((F73&gt;=Seuils)*Ecarts),2),ROUND(D73*SUMPRODUCT((F73&gt;=Seuils)*Ecarts),2)+ROUND(E73*(SUMPRODUCT((F73&gt;=Seuils)*Ecarts)-SUMPRODUCT((E73&gt;=Seuils)*Ecarts)),2)))</f>
        <v/>
      </c>
      <c r="I73" s="21"/>
      <c r="J73" s="19" t="str">
        <f>IF(C73="","",ROUND(H73*IF(I73="",1,I73),2))</f>
        <v/>
      </c>
    </row>
    <row r="74" spans="1:10" x14ac:dyDescent="0.25">
      <c r="A74" s="17"/>
      <c r="B74" s="6"/>
      <c r="C74" s="18"/>
      <c r="D74" s="19" t="str">
        <f>IF(C74="","",ROUND(C74/IF(SaisieHonoraires="TTC",1+TauxTVA,1),2))</f>
        <v/>
      </c>
      <c r="E74" s="19" t="str">
        <f>IF(C74="","",CAInitial+SUM(D$5:D73))</f>
        <v/>
      </c>
      <c r="F74" s="19" t="str">
        <f>IF(C74="","",E74+D74)</f>
        <v/>
      </c>
      <c r="G74" s="20" t="str">
        <f>IF(C74="","",SUMPRODUCT((F74&gt;=Seuils)*Ecarts))</f>
        <v/>
      </c>
      <c r="H74" s="19" t="str">
        <f>IF(C74="","",CHOOSE(MATCH(ModePaliers,{"Par tranche","Au taux atteint","Au taux atteint rétroactif"},0),ROUND(SUMPRODUCT((F74&gt;Seuils)*(F74-Seuils)*Ecarts)-SUMPRODUCT((E74&gt;Seuils)*(E74-Seuils)*Ecarts),2),ROUND(D74*SUMPRODUCT((F74&gt;=Seuils)*Ecarts),2),ROUND(D74*SUMPRODUCT((F74&gt;=Seuils)*Ecarts),2)+ROUND(E74*(SUMPRODUCT((F74&gt;=Seuils)*Ecarts)-SUMPRODUCT((E74&gt;=Seuils)*Ecarts)),2)))</f>
        <v/>
      </c>
      <c r="I74" s="21"/>
      <c r="J74" s="19" t="str">
        <f>IF(C74="","",ROUND(H74*IF(I74="",1,I74),2))</f>
        <v/>
      </c>
    </row>
    <row r="75" spans="1:10" x14ac:dyDescent="0.25">
      <c r="A75" s="17"/>
      <c r="B75" s="6"/>
      <c r="C75" s="18"/>
      <c r="D75" s="19" t="str">
        <f>IF(C75="","",ROUND(C75/IF(SaisieHonoraires="TTC",1+TauxTVA,1),2))</f>
        <v/>
      </c>
      <c r="E75" s="19" t="str">
        <f>IF(C75="","",CAInitial+SUM(D$5:D74))</f>
        <v/>
      </c>
      <c r="F75" s="19" t="str">
        <f>IF(C75="","",E75+D75)</f>
        <v/>
      </c>
      <c r="G75" s="20" t="str">
        <f>IF(C75="","",SUMPRODUCT((F75&gt;=Seuils)*Ecarts))</f>
        <v/>
      </c>
      <c r="H75" s="19" t="str">
        <f>IF(C75="","",CHOOSE(MATCH(ModePaliers,{"Par tranche","Au taux atteint","Au taux atteint rétroactif"},0),ROUND(SUMPRODUCT((F75&gt;Seuils)*(F75-Seuils)*Ecarts)-SUMPRODUCT((E75&gt;Seuils)*(E75-Seuils)*Ecarts),2),ROUND(D75*SUMPRODUCT((F75&gt;=Seuils)*Ecarts),2),ROUND(D75*SUMPRODUCT((F75&gt;=Seuils)*Ecarts),2)+ROUND(E75*(SUMPRODUCT((F75&gt;=Seuils)*Ecarts)-SUMPRODUCT((E75&gt;=Seuils)*Ecarts)),2)))</f>
        <v/>
      </c>
      <c r="I75" s="21"/>
      <c r="J75" s="19" t="str">
        <f>IF(C75="","",ROUND(H75*IF(I75="",1,I75),2))</f>
        <v/>
      </c>
    </row>
    <row r="76" spans="1:10" x14ac:dyDescent="0.25">
      <c r="A76" s="17"/>
      <c r="B76" s="6"/>
      <c r="C76" s="18"/>
      <c r="D76" s="19" t="str">
        <f>IF(C76="","",ROUND(C76/IF(SaisieHonoraires="TTC",1+TauxTVA,1),2))</f>
        <v/>
      </c>
      <c r="E76" s="19" t="str">
        <f>IF(C76="","",CAInitial+SUM(D$5:D75))</f>
        <v/>
      </c>
      <c r="F76" s="19" t="str">
        <f>IF(C76="","",E76+D76)</f>
        <v/>
      </c>
      <c r="G76" s="20" t="str">
        <f>IF(C76="","",SUMPRODUCT((F76&gt;=Seuils)*Ecarts))</f>
        <v/>
      </c>
      <c r="H76" s="19" t="str">
        <f>IF(C76="","",CHOOSE(MATCH(ModePaliers,{"Par tranche","Au taux atteint","Au taux atteint rétroactif"},0),ROUND(SUMPRODUCT((F76&gt;Seuils)*(F76-Seuils)*Ecarts)-SUMPRODUCT((E76&gt;Seuils)*(E76-Seuils)*Ecarts),2),ROUND(D76*SUMPRODUCT((F76&gt;=Seuils)*Ecarts),2),ROUND(D76*SUMPRODUCT((F76&gt;=Seuils)*Ecarts),2)+ROUND(E76*(SUMPRODUCT((F76&gt;=Seuils)*Ecarts)-SUMPRODUCT((E76&gt;=Seuils)*Ecarts)),2)))</f>
        <v/>
      </c>
      <c r="I76" s="21"/>
      <c r="J76" s="19" t="str">
        <f>IF(C76="","",ROUND(H76*IF(I76="",1,I76),2))</f>
        <v/>
      </c>
    </row>
    <row r="77" spans="1:10" x14ac:dyDescent="0.25">
      <c r="A77" s="17"/>
      <c r="B77" s="6"/>
      <c r="C77" s="18"/>
      <c r="D77" s="19" t="str">
        <f>IF(C77="","",ROUND(C77/IF(SaisieHonoraires="TTC",1+TauxTVA,1),2))</f>
        <v/>
      </c>
      <c r="E77" s="19" t="str">
        <f>IF(C77="","",CAInitial+SUM(D$5:D76))</f>
        <v/>
      </c>
      <c r="F77" s="19" t="str">
        <f>IF(C77="","",E77+D77)</f>
        <v/>
      </c>
      <c r="G77" s="20" t="str">
        <f>IF(C77="","",SUMPRODUCT((F77&gt;=Seuils)*Ecarts))</f>
        <v/>
      </c>
      <c r="H77" s="19" t="str">
        <f>IF(C77="","",CHOOSE(MATCH(ModePaliers,{"Par tranche","Au taux atteint","Au taux atteint rétroactif"},0),ROUND(SUMPRODUCT((F77&gt;Seuils)*(F77-Seuils)*Ecarts)-SUMPRODUCT((E77&gt;Seuils)*(E77-Seuils)*Ecarts),2),ROUND(D77*SUMPRODUCT((F77&gt;=Seuils)*Ecarts),2),ROUND(D77*SUMPRODUCT((F77&gt;=Seuils)*Ecarts),2)+ROUND(E77*(SUMPRODUCT((F77&gt;=Seuils)*Ecarts)-SUMPRODUCT((E77&gt;=Seuils)*Ecarts)),2)))</f>
        <v/>
      </c>
      <c r="I77" s="21"/>
      <c r="J77" s="19" t="str">
        <f>IF(C77="","",ROUND(H77*IF(I77="",1,I77),2))</f>
        <v/>
      </c>
    </row>
    <row r="78" spans="1:10" x14ac:dyDescent="0.25">
      <c r="A78" s="17"/>
      <c r="B78" s="6"/>
      <c r="C78" s="18"/>
      <c r="D78" s="19" t="str">
        <f>IF(C78="","",ROUND(C78/IF(SaisieHonoraires="TTC",1+TauxTVA,1),2))</f>
        <v/>
      </c>
      <c r="E78" s="19" t="str">
        <f>IF(C78="","",CAInitial+SUM(D$5:D77))</f>
        <v/>
      </c>
      <c r="F78" s="19" t="str">
        <f>IF(C78="","",E78+D78)</f>
        <v/>
      </c>
      <c r="G78" s="20" t="str">
        <f>IF(C78="","",SUMPRODUCT((F78&gt;=Seuils)*Ecarts))</f>
        <v/>
      </c>
      <c r="H78" s="19" t="str">
        <f>IF(C78="","",CHOOSE(MATCH(ModePaliers,{"Par tranche","Au taux atteint","Au taux atteint rétroactif"},0),ROUND(SUMPRODUCT((F78&gt;Seuils)*(F78-Seuils)*Ecarts)-SUMPRODUCT((E78&gt;Seuils)*(E78-Seuils)*Ecarts),2),ROUND(D78*SUMPRODUCT((F78&gt;=Seuils)*Ecarts),2),ROUND(D78*SUMPRODUCT((F78&gt;=Seuils)*Ecarts),2)+ROUND(E78*(SUMPRODUCT((F78&gt;=Seuils)*Ecarts)-SUMPRODUCT((E78&gt;=Seuils)*Ecarts)),2)))</f>
        <v/>
      </c>
      <c r="I78" s="21"/>
      <c r="J78" s="19" t="str">
        <f>IF(C78="","",ROUND(H78*IF(I78="",1,I78),2))</f>
        <v/>
      </c>
    </row>
    <row r="79" spans="1:10" x14ac:dyDescent="0.25">
      <c r="A79" s="17"/>
      <c r="B79" s="6"/>
      <c r="C79" s="18"/>
      <c r="D79" s="19" t="str">
        <f>IF(C79="","",ROUND(C79/IF(SaisieHonoraires="TTC",1+TauxTVA,1),2))</f>
        <v/>
      </c>
      <c r="E79" s="19" t="str">
        <f>IF(C79="","",CAInitial+SUM(D$5:D78))</f>
        <v/>
      </c>
      <c r="F79" s="19" t="str">
        <f>IF(C79="","",E79+D79)</f>
        <v/>
      </c>
      <c r="G79" s="20" t="str">
        <f>IF(C79="","",SUMPRODUCT((F79&gt;=Seuils)*Ecarts))</f>
        <v/>
      </c>
      <c r="H79" s="19" t="str">
        <f>IF(C79="","",CHOOSE(MATCH(ModePaliers,{"Par tranche","Au taux atteint","Au taux atteint rétroactif"},0),ROUND(SUMPRODUCT((F79&gt;Seuils)*(F79-Seuils)*Ecarts)-SUMPRODUCT((E79&gt;Seuils)*(E79-Seuils)*Ecarts),2),ROUND(D79*SUMPRODUCT((F79&gt;=Seuils)*Ecarts),2),ROUND(D79*SUMPRODUCT((F79&gt;=Seuils)*Ecarts),2)+ROUND(E79*(SUMPRODUCT((F79&gt;=Seuils)*Ecarts)-SUMPRODUCT((E79&gt;=Seuils)*Ecarts)),2)))</f>
        <v/>
      </c>
      <c r="I79" s="21"/>
      <c r="J79" s="19" t="str">
        <f>IF(C79="","",ROUND(H79*IF(I79="",1,I79),2))</f>
        <v/>
      </c>
    </row>
    <row r="80" spans="1:10" x14ac:dyDescent="0.25">
      <c r="A80" s="17"/>
      <c r="B80" s="6"/>
      <c r="C80" s="18"/>
      <c r="D80" s="19" t="str">
        <f>IF(C80="","",ROUND(C80/IF(SaisieHonoraires="TTC",1+TauxTVA,1),2))</f>
        <v/>
      </c>
      <c r="E80" s="19" t="str">
        <f>IF(C80="","",CAInitial+SUM(D$5:D79))</f>
        <v/>
      </c>
      <c r="F80" s="19" t="str">
        <f>IF(C80="","",E80+D80)</f>
        <v/>
      </c>
      <c r="G80" s="20" t="str">
        <f>IF(C80="","",SUMPRODUCT((F80&gt;=Seuils)*Ecarts))</f>
        <v/>
      </c>
      <c r="H80" s="19" t="str">
        <f>IF(C80="","",CHOOSE(MATCH(ModePaliers,{"Par tranche","Au taux atteint","Au taux atteint rétroactif"},0),ROUND(SUMPRODUCT((F80&gt;Seuils)*(F80-Seuils)*Ecarts)-SUMPRODUCT((E80&gt;Seuils)*(E80-Seuils)*Ecarts),2),ROUND(D80*SUMPRODUCT((F80&gt;=Seuils)*Ecarts),2),ROUND(D80*SUMPRODUCT((F80&gt;=Seuils)*Ecarts),2)+ROUND(E80*(SUMPRODUCT((F80&gt;=Seuils)*Ecarts)-SUMPRODUCT((E80&gt;=Seuils)*Ecarts)),2)))</f>
        <v/>
      </c>
      <c r="I80" s="21"/>
      <c r="J80" s="19" t="str">
        <f>IF(C80="","",ROUND(H80*IF(I80="",1,I80),2))</f>
        <v/>
      </c>
    </row>
    <row r="81" spans="1:10" x14ac:dyDescent="0.25">
      <c r="A81" s="17"/>
      <c r="B81" s="6"/>
      <c r="C81" s="18"/>
      <c r="D81" s="19" t="str">
        <f>IF(C81="","",ROUND(C81/IF(SaisieHonoraires="TTC",1+TauxTVA,1),2))</f>
        <v/>
      </c>
      <c r="E81" s="19" t="str">
        <f>IF(C81="","",CAInitial+SUM(D$5:D80))</f>
        <v/>
      </c>
      <c r="F81" s="19" t="str">
        <f>IF(C81="","",E81+D81)</f>
        <v/>
      </c>
      <c r="G81" s="20" t="str">
        <f>IF(C81="","",SUMPRODUCT((F81&gt;=Seuils)*Ecarts))</f>
        <v/>
      </c>
      <c r="H81" s="19" t="str">
        <f>IF(C81="","",CHOOSE(MATCH(ModePaliers,{"Par tranche","Au taux atteint","Au taux atteint rétroactif"},0),ROUND(SUMPRODUCT((F81&gt;Seuils)*(F81-Seuils)*Ecarts)-SUMPRODUCT((E81&gt;Seuils)*(E81-Seuils)*Ecarts),2),ROUND(D81*SUMPRODUCT((F81&gt;=Seuils)*Ecarts),2),ROUND(D81*SUMPRODUCT((F81&gt;=Seuils)*Ecarts),2)+ROUND(E81*(SUMPRODUCT((F81&gt;=Seuils)*Ecarts)-SUMPRODUCT((E81&gt;=Seuils)*Ecarts)),2)))</f>
        <v/>
      </c>
      <c r="I81" s="21"/>
      <c r="J81" s="19" t="str">
        <f>IF(C81="","",ROUND(H81*IF(I81="",1,I81),2))</f>
        <v/>
      </c>
    </row>
    <row r="82" spans="1:10" x14ac:dyDescent="0.25">
      <c r="A82" s="17"/>
      <c r="B82" s="6"/>
      <c r="C82" s="18"/>
      <c r="D82" s="19" t="str">
        <f>IF(C82="","",ROUND(C82/IF(SaisieHonoraires="TTC",1+TauxTVA,1),2))</f>
        <v/>
      </c>
      <c r="E82" s="19" t="str">
        <f>IF(C82="","",CAInitial+SUM(D$5:D81))</f>
        <v/>
      </c>
      <c r="F82" s="19" t="str">
        <f>IF(C82="","",E82+D82)</f>
        <v/>
      </c>
      <c r="G82" s="20" t="str">
        <f>IF(C82="","",SUMPRODUCT((F82&gt;=Seuils)*Ecarts))</f>
        <v/>
      </c>
      <c r="H82" s="19" t="str">
        <f>IF(C82="","",CHOOSE(MATCH(ModePaliers,{"Par tranche","Au taux atteint","Au taux atteint rétroactif"},0),ROUND(SUMPRODUCT((F82&gt;Seuils)*(F82-Seuils)*Ecarts)-SUMPRODUCT((E82&gt;Seuils)*(E82-Seuils)*Ecarts),2),ROUND(D82*SUMPRODUCT((F82&gt;=Seuils)*Ecarts),2),ROUND(D82*SUMPRODUCT((F82&gt;=Seuils)*Ecarts),2)+ROUND(E82*(SUMPRODUCT((F82&gt;=Seuils)*Ecarts)-SUMPRODUCT((E82&gt;=Seuils)*Ecarts)),2)))</f>
        <v/>
      </c>
      <c r="I82" s="21"/>
      <c r="J82" s="19" t="str">
        <f>IF(C82="","",ROUND(H82*IF(I82="",1,I82),2))</f>
        <v/>
      </c>
    </row>
    <row r="83" spans="1:10" x14ac:dyDescent="0.25">
      <c r="A83" s="17"/>
      <c r="B83" s="6"/>
      <c r="C83" s="18"/>
      <c r="D83" s="19" t="str">
        <f>IF(C83="","",ROUND(C83/IF(SaisieHonoraires="TTC",1+TauxTVA,1),2))</f>
        <v/>
      </c>
      <c r="E83" s="19" t="str">
        <f>IF(C83="","",CAInitial+SUM(D$5:D82))</f>
        <v/>
      </c>
      <c r="F83" s="19" t="str">
        <f>IF(C83="","",E83+D83)</f>
        <v/>
      </c>
      <c r="G83" s="20" t="str">
        <f>IF(C83="","",SUMPRODUCT((F83&gt;=Seuils)*Ecarts))</f>
        <v/>
      </c>
      <c r="H83" s="19" t="str">
        <f>IF(C83="","",CHOOSE(MATCH(ModePaliers,{"Par tranche","Au taux atteint","Au taux atteint rétroactif"},0),ROUND(SUMPRODUCT((F83&gt;Seuils)*(F83-Seuils)*Ecarts)-SUMPRODUCT((E83&gt;Seuils)*(E83-Seuils)*Ecarts),2),ROUND(D83*SUMPRODUCT((F83&gt;=Seuils)*Ecarts),2),ROUND(D83*SUMPRODUCT((F83&gt;=Seuils)*Ecarts),2)+ROUND(E83*(SUMPRODUCT((F83&gt;=Seuils)*Ecarts)-SUMPRODUCT((E83&gt;=Seuils)*Ecarts)),2)))</f>
        <v/>
      </c>
      <c r="I83" s="21"/>
      <c r="J83" s="19" t="str">
        <f>IF(C83="","",ROUND(H83*IF(I83="",1,I83),2))</f>
        <v/>
      </c>
    </row>
    <row r="84" spans="1:10" x14ac:dyDescent="0.25">
      <c r="A84" s="17"/>
      <c r="B84" s="6"/>
      <c r="C84" s="18"/>
      <c r="D84" s="19" t="str">
        <f>IF(C84="","",ROUND(C84/IF(SaisieHonoraires="TTC",1+TauxTVA,1),2))</f>
        <v/>
      </c>
      <c r="E84" s="19" t="str">
        <f>IF(C84="","",CAInitial+SUM(D$5:D83))</f>
        <v/>
      </c>
      <c r="F84" s="19" t="str">
        <f>IF(C84="","",E84+D84)</f>
        <v/>
      </c>
      <c r="G84" s="20" t="str">
        <f>IF(C84="","",SUMPRODUCT((F84&gt;=Seuils)*Ecarts))</f>
        <v/>
      </c>
      <c r="H84" s="19" t="str">
        <f>IF(C84="","",CHOOSE(MATCH(ModePaliers,{"Par tranche","Au taux atteint","Au taux atteint rétroactif"},0),ROUND(SUMPRODUCT((F84&gt;Seuils)*(F84-Seuils)*Ecarts)-SUMPRODUCT((E84&gt;Seuils)*(E84-Seuils)*Ecarts),2),ROUND(D84*SUMPRODUCT((F84&gt;=Seuils)*Ecarts),2),ROUND(D84*SUMPRODUCT((F84&gt;=Seuils)*Ecarts),2)+ROUND(E84*(SUMPRODUCT((F84&gt;=Seuils)*Ecarts)-SUMPRODUCT((E84&gt;=Seuils)*Ecarts)),2)))</f>
        <v/>
      </c>
      <c r="I84" s="21"/>
      <c r="J84" s="19" t="str">
        <f>IF(C84="","",ROUND(H84*IF(I84="",1,I84),2))</f>
        <v/>
      </c>
    </row>
    <row r="85" spans="1:10" x14ac:dyDescent="0.25">
      <c r="A85" s="17"/>
      <c r="B85" s="6"/>
      <c r="C85" s="18"/>
      <c r="D85" s="19" t="str">
        <f>IF(C85="","",ROUND(C85/IF(SaisieHonoraires="TTC",1+TauxTVA,1),2))</f>
        <v/>
      </c>
      <c r="E85" s="19" t="str">
        <f>IF(C85="","",CAInitial+SUM(D$5:D84))</f>
        <v/>
      </c>
      <c r="F85" s="19" t="str">
        <f>IF(C85="","",E85+D85)</f>
        <v/>
      </c>
      <c r="G85" s="20" t="str">
        <f>IF(C85="","",SUMPRODUCT((F85&gt;=Seuils)*Ecarts))</f>
        <v/>
      </c>
      <c r="H85" s="19" t="str">
        <f>IF(C85="","",CHOOSE(MATCH(ModePaliers,{"Par tranche","Au taux atteint","Au taux atteint rétroactif"},0),ROUND(SUMPRODUCT((F85&gt;Seuils)*(F85-Seuils)*Ecarts)-SUMPRODUCT((E85&gt;Seuils)*(E85-Seuils)*Ecarts),2),ROUND(D85*SUMPRODUCT((F85&gt;=Seuils)*Ecarts),2),ROUND(D85*SUMPRODUCT((F85&gt;=Seuils)*Ecarts),2)+ROUND(E85*(SUMPRODUCT((F85&gt;=Seuils)*Ecarts)-SUMPRODUCT((E85&gt;=Seuils)*Ecarts)),2)))</f>
        <v/>
      </c>
      <c r="I85" s="21"/>
      <c r="J85" s="19" t="str">
        <f>IF(C85="","",ROUND(H85*IF(I85="",1,I85),2))</f>
        <v/>
      </c>
    </row>
    <row r="86" spans="1:10" x14ac:dyDescent="0.25">
      <c r="A86" s="17"/>
      <c r="B86" s="6"/>
      <c r="C86" s="18"/>
      <c r="D86" s="19" t="str">
        <f>IF(C86="","",ROUND(C86/IF(SaisieHonoraires="TTC",1+TauxTVA,1),2))</f>
        <v/>
      </c>
      <c r="E86" s="19" t="str">
        <f>IF(C86="","",CAInitial+SUM(D$5:D85))</f>
        <v/>
      </c>
      <c r="F86" s="19" t="str">
        <f>IF(C86="","",E86+D86)</f>
        <v/>
      </c>
      <c r="G86" s="20" t="str">
        <f>IF(C86="","",SUMPRODUCT((F86&gt;=Seuils)*Ecarts))</f>
        <v/>
      </c>
      <c r="H86" s="19" t="str">
        <f>IF(C86="","",CHOOSE(MATCH(ModePaliers,{"Par tranche","Au taux atteint","Au taux atteint rétroactif"},0),ROUND(SUMPRODUCT((F86&gt;Seuils)*(F86-Seuils)*Ecarts)-SUMPRODUCT((E86&gt;Seuils)*(E86-Seuils)*Ecarts),2),ROUND(D86*SUMPRODUCT((F86&gt;=Seuils)*Ecarts),2),ROUND(D86*SUMPRODUCT((F86&gt;=Seuils)*Ecarts),2)+ROUND(E86*(SUMPRODUCT((F86&gt;=Seuils)*Ecarts)-SUMPRODUCT((E86&gt;=Seuils)*Ecarts)),2)))</f>
        <v/>
      </c>
      <c r="I86" s="21"/>
      <c r="J86" s="19" t="str">
        <f>IF(C86="","",ROUND(H86*IF(I86="",1,I86),2))</f>
        <v/>
      </c>
    </row>
    <row r="87" spans="1:10" x14ac:dyDescent="0.25">
      <c r="A87" s="17"/>
      <c r="B87" s="6"/>
      <c r="C87" s="18"/>
      <c r="D87" s="19" t="str">
        <f>IF(C87="","",ROUND(C87/IF(SaisieHonoraires="TTC",1+TauxTVA,1),2))</f>
        <v/>
      </c>
      <c r="E87" s="19" t="str">
        <f>IF(C87="","",CAInitial+SUM(D$5:D86))</f>
        <v/>
      </c>
      <c r="F87" s="19" t="str">
        <f>IF(C87="","",E87+D87)</f>
        <v/>
      </c>
      <c r="G87" s="20" t="str">
        <f>IF(C87="","",SUMPRODUCT((F87&gt;=Seuils)*Ecarts))</f>
        <v/>
      </c>
      <c r="H87" s="19" t="str">
        <f>IF(C87="","",CHOOSE(MATCH(ModePaliers,{"Par tranche","Au taux atteint","Au taux atteint rétroactif"},0),ROUND(SUMPRODUCT((F87&gt;Seuils)*(F87-Seuils)*Ecarts)-SUMPRODUCT((E87&gt;Seuils)*(E87-Seuils)*Ecarts),2),ROUND(D87*SUMPRODUCT((F87&gt;=Seuils)*Ecarts),2),ROUND(D87*SUMPRODUCT((F87&gt;=Seuils)*Ecarts),2)+ROUND(E87*(SUMPRODUCT((F87&gt;=Seuils)*Ecarts)-SUMPRODUCT((E87&gt;=Seuils)*Ecarts)),2)))</f>
        <v/>
      </c>
      <c r="I87" s="21"/>
      <c r="J87" s="19" t="str">
        <f>IF(C87="","",ROUND(H87*IF(I87="",1,I87),2))</f>
        <v/>
      </c>
    </row>
    <row r="88" spans="1:10" x14ac:dyDescent="0.25">
      <c r="A88" s="17"/>
      <c r="B88" s="6"/>
      <c r="C88" s="18"/>
      <c r="D88" s="19" t="str">
        <f>IF(C88="","",ROUND(C88/IF(SaisieHonoraires="TTC",1+TauxTVA,1),2))</f>
        <v/>
      </c>
      <c r="E88" s="19" t="str">
        <f>IF(C88="","",CAInitial+SUM(D$5:D87))</f>
        <v/>
      </c>
      <c r="F88" s="19" t="str">
        <f>IF(C88="","",E88+D88)</f>
        <v/>
      </c>
      <c r="G88" s="20" t="str">
        <f>IF(C88="","",SUMPRODUCT((F88&gt;=Seuils)*Ecarts))</f>
        <v/>
      </c>
      <c r="H88" s="19" t="str">
        <f>IF(C88="","",CHOOSE(MATCH(ModePaliers,{"Par tranche","Au taux atteint","Au taux atteint rétroactif"},0),ROUND(SUMPRODUCT((F88&gt;Seuils)*(F88-Seuils)*Ecarts)-SUMPRODUCT((E88&gt;Seuils)*(E88-Seuils)*Ecarts),2),ROUND(D88*SUMPRODUCT((F88&gt;=Seuils)*Ecarts),2),ROUND(D88*SUMPRODUCT((F88&gt;=Seuils)*Ecarts),2)+ROUND(E88*(SUMPRODUCT((F88&gt;=Seuils)*Ecarts)-SUMPRODUCT((E88&gt;=Seuils)*Ecarts)),2)))</f>
        <v/>
      </c>
      <c r="I88" s="21"/>
      <c r="J88" s="19" t="str">
        <f>IF(C88="","",ROUND(H88*IF(I88="",1,I88),2))</f>
        <v/>
      </c>
    </row>
    <row r="89" spans="1:10" x14ac:dyDescent="0.25">
      <c r="A89" s="17"/>
      <c r="B89" s="6"/>
      <c r="C89" s="18"/>
      <c r="D89" s="19" t="str">
        <f>IF(C89="","",ROUND(C89/IF(SaisieHonoraires="TTC",1+TauxTVA,1),2))</f>
        <v/>
      </c>
      <c r="E89" s="19" t="str">
        <f>IF(C89="","",CAInitial+SUM(D$5:D88))</f>
        <v/>
      </c>
      <c r="F89" s="19" t="str">
        <f>IF(C89="","",E89+D89)</f>
        <v/>
      </c>
      <c r="G89" s="20" t="str">
        <f>IF(C89="","",SUMPRODUCT((F89&gt;=Seuils)*Ecarts))</f>
        <v/>
      </c>
      <c r="H89" s="19" t="str">
        <f>IF(C89="","",CHOOSE(MATCH(ModePaliers,{"Par tranche","Au taux atteint","Au taux atteint rétroactif"},0),ROUND(SUMPRODUCT((F89&gt;Seuils)*(F89-Seuils)*Ecarts)-SUMPRODUCT((E89&gt;Seuils)*(E89-Seuils)*Ecarts),2),ROUND(D89*SUMPRODUCT((F89&gt;=Seuils)*Ecarts),2),ROUND(D89*SUMPRODUCT((F89&gt;=Seuils)*Ecarts),2)+ROUND(E89*(SUMPRODUCT((F89&gt;=Seuils)*Ecarts)-SUMPRODUCT((E89&gt;=Seuils)*Ecarts)),2)))</f>
        <v/>
      </c>
      <c r="I89" s="21"/>
      <c r="J89" s="19" t="str">
        <f>IF(C89="","",ROUND(H89*IF(I89="",1,I89),2))</f>
        <v/>
      </c>
    </row>
    <row r="90" spans="1:10" x14ac:dyDescent="0.25">
      <c r="A90" s="17"/>
      <c r="B90" s="6"/>
      <c r="C90" s="18"/>
      <c r="D90" s="19" t="str">
        <f>IF(C90="","",ROUND(C90/IF(SaisieHonoraires="TTC",1+TauxTVA,1),2))</f>
        <v/>
      </c>
      <c r="E90" s="19" t="str">
        <f>IF(C90="","",CAInitial+SUM(D$5:D89))</f>
        <v/>
      </c>
      <c r="F90" s="19" t="str">
        <f>IF(C90="","",E90+D90)</f>
        <v/>
      </c>
      <c r="G90" s="20" t="str">
        <f>IF(C90="","",SUMPRODUCT((F90&gt;=Seuils)*Ecarts))</f>
        <v/>
      </c>
      <c r="H90" s="19" t="str">
        <f>IF(C90="","",CHOOSE(MATCH(ModePaliers,{"Par tranche","Au taux atteint","Au taux atteint rétroactif"},0),ROUND(SUMPRODUCT((F90&gt;Seuils)*(F90-Seuils)*Ecarts)-SUMPRODUCT((E90&gt;Seuils)*(E90-Seuils)*Ecarts),2),ROUND(D90*SUMPRODUCT((F90&gt;=Seuils)*Ecarts),2),ROUND(D90*SUMPRODUCT((F90&gt;=Seuils)*Ecarts),2)+ROUND(E90*(SUMPRODUCT((F90&gt;=Seuils)*Ecarts)-SUMPRODUCT((E90&gt;=Seuils)*Ecarts)),2)))</f>
        <v/>
      </c>
      <c r="I90" s="21"/>
      <c r="J90" s="19" t="str">
        <f>IF(C90="","",ROUND(H90*IF(I90="",1,I90),2))</f>
        <v/>
      </c>
    </row>
    <row r="91" spans="1:10" x14ac:dyDescent="0.25">
      <c r="A91" s="17"/>
      <c r="B91" s="6"/>
      <c r="C91" s="18"/>
      <c r="D91" s="19" t="str">
        <f>IF(C91="","",ROUND(C91/IF(SaisieHonoraires="TTC",1+TauxTVA,1),2))</f>
        <v/>
      </c>
      <c r="E91" s="19" t="str">
        <f>IF(C91="","",CAInitial+SUM(D$5:D90))</f>
        <v/>
      </c>
      <c r="F91" s="19" t="str">
        <f>IF(C91="","",E91+D91)</f>
        <v/>
      </c>
      <c r="G91" s="20" t="str">
        <f>IF(C91="","",SUMPRODUCT((F91&gt;=Seuils)*Ecarts))</f>
        <v/>
      </c>
      <c r="H91" s="19" t="str">
        <f>IF(C91="","",CHOOSE(MATCH(ModePaliers,{"Par tranche","Au taux atteint","Au taux atteint rétroactif"},0),ROUND(SUMPRODUCT((F91&gt;Seuils)*(F91-Seuils)*Ecarts)-SUMPRODUCT((E91&gt;Seuils)*(E91-Seuils)*Ecarts),2),ROUND(D91*SUMPRODUCT((F91&gt;=Seuils)*Ecarts),2),ROUND(D91*SUMPRODUCT((F91&gt;=Seuils)*Ecarts),2)+ROUND(E91*(SUMPRODUCT((F91&gt;=Seuils)*Ecarts)-SUMPRODUCT((E91&gt;=Seuils)*Ecarts)),2)))</f>
        <v/>
      </c>
      <c r="I91" s="21"/>
      <c r="J91" s="19" t="str">
        <f>IF(C91="","",ROUND(H91*IF(I91="",1,I91),2))</f>
        <v/>
      </c>
    </row>
    <row r="92" spans="1:10" x14ac:dyDescent="0.25">
      <c r="A92" s="17"/>
      <c r="B92" s="6"/>
      <c r="C92" s="18"/>
      <c r="D92" s="19" t="str">
        <f>IF(C92="","",ROUND(C92/IF(SaisieHonoraires="TTC",1+TauxTVA,1),2))</f>
        <v/>
      </c>
      <c r="E92" s="19" t="str">
        <f>IF(C92="","",CAInitial+SUM(D$5:D91))</f>
        <v/>
      </c>
      <c r="F92" s="19" t="str">
        <f>IF(C92="","",E92+D92)</f>
        <v/>
      </c>
      <c r="G92" s="20" t="str">
        <f>IF(C92="","",SUMPRODUCT((F92&gt;=Seuils)*Ecarts))</f>
        <v/>
      </c>
      <c r="H92" s="19" t="str">
        <f>IF(C92="","",CHOOSE(MATCH(ModePaliers,{"Par tranche","Au taux atteint","Au taux atteint rétroactif"},0),ROUND(SUMPRODUCT((F92&gt;Seuils)*(F92-Seuils)*Ecarts)-SUMPRODUCT((E92&gt;Seuils)*(E92-Seuils)*Ecarts),2),ROUND(D92*SUMPRODUCT((F92&gt;=Seuils)*Ecarts),2),ROUND(D92*SUMPRODUCT((F92&gt;=Seuils)*Ecarts),2)+ROUND(E92*(SUMPRODUCT((F92&gt;=Seuils)*Ecarts)-SUMPRODUCT((E92&gt;=Seuils)*Ecarts)),2)))</f>
        <v/>
      </c>
      <c r="I92" s="21"/>
      <c r="J92" s="19" t="str">
        <f>IF(C92="","",ROUND(H92*IF(I92="",1,I92),2))</f>
        <v/>
      </c>
    </row>
    <row r="93" spans="1:10" x14ac:dyDescent="0.25">
      <c r="A93" s="17"/>
      <c r="B93" s="6"/>
      <c r="C93" s="18"/>
      <c r="D93" s="19" t="str">
        <f>IF(C93="","",ROUND(C93/IF(SaisieHonoraires="TTC",1+TauxTVA,1),2))</f>
        <v/>
      </c>
      <c r="E93" s="19" t="str">
        <f>IF(C93="","",CAInitial+SUM(D$5:D92))</f>
        <v/>
      </c>
      <c r="F93" s="19" t="str">
        <f>IF(C93="","",E93+D93)</f>
        <v/>
      </c>
      <c r="G93" s="20" t="str">
        <f>IF(C93="","",SUMPRODUCT((F93&gt;=Seuils)*Ecarts))</f>
        <v/>
      </c>
      <c r="H93" s="19" t="str">
        <f>IF(C93="","",CHOOSE(MATCH(ModePaliers,{"Par tranche","Au taux atteint","Au taux atteint rétroactif"},0),ROUND(SUMPRODUCT((F93&gt;Seuils)*(F93-Seuils)*Ecarts)-SUMPRODUCT((E93&gt;Seuils)*(E93-Seuils)*Ecarts),2),ROUND(D93*SUMPRODUCT((F93&gt;=Seuils)*Ecarts),2),ROUND(D93*SUMPRODUCT((F93&gt;=Seuils)*Ecarts),2)+ROUND(E93*(SUMPRODUCT((F93&gt;=Seuils)*Ecarts)-SUMPRODUCT((E93&gt;=Seuils)*Ecarts)),2)))</f>
        <v/>
      </c>
      <c r="I93" s="21"/>
      <c r="J93" s="19" t="str">
        <f>IF(C93="","",ROUND(H93*IF(I93="",1,I93),2))</f>
        <v/>
      </c>
    </row>
    <row r="94" spans="1:10" x14ac:dyDescent="0.25">
      <c r="A94" s="17"/>
      <c r="B94" s="6"/>
      <c r="C94" s="18"/>
      <c r="D94" s="19" t="str">
        <f>IF(C94="","",ROUND(C94/IF(SaisieHonoraires="TTC",1+TauxTVA,1),2))</f>
        <v/>
      </c>
      <c r="E94" s="19" t="str">
        <f>IF(C94="","",CAInitial+SUM(D$5:D93))</f>
        <v/>
      </c>
      <c r="F94" s="19" t="str">
        <f>IF(C94="","",E94+D94)</f>
        <v/>
      </c>
      <c r="G94" s="20" t="str">
        <f>IF(C94="","",SUMPRODUCT((F94&gt;=Seuils)*Ecarts))</f>
        <v/>
      </c>
      <c r="H94" s="19" t="str">
        <f>IF(C94="","",CHOOSE(MATCH(ModePaliers,{"Par tranche","Au taux atteint","Au taux atteint rétroactif"},0),ROUND(SUMPRODUCT((F94&gt;Seuils)*(F94-Seuils)*Ecarts)-SUMPRODUCT((E94&gt;Seuils)*(E94-Seuils)*Ecarts),2),ROUND(D94*SUMPRODUCT((F94&gt;=Seuils)*Ecarts),2),ROUND(D94*SUMPRODUCT((F94&gt;=Seuils)*Ecarts),2)+ROUND(E94*(SUMPRODUCT((F94&gt;=Seuils)*Ecarts)-SUMPRODUCT((E94&gt;=Seuils)*Ecarts)),2)))</f>
        <v/>
      </c>
      <c r="I94" s="21"/>
      <c r="J94" s="19" t="str">
        <f>IF(C94="","",ROUND(H94*IF(I94="",1,I94),2))</f>
        <v/>
      </c>
    </row>
    <row r="95" spans="1:10" x14ac:dyDescent="0.25">
      <c r="A95" s="17"/>
      <c r="B95" s="6"/>
      <c r="C95" s="18"/>
      <c r="D95" s="19" t="str">
        <f>IF(C95="","",ROUND(C95/IF(SaisieHonoraires="TTC",1+TauxTVA,1),2))</f>
        <v/>
      </c>
      <c r="E95" s="19" t="str">
        <f>IF(C95="","",CAInitial+SUM(D$5:D94))</f>
        <v/>
      </c>
      <c r="F95" s="19" t="str">
        <f>IF(C95="","",E95+D95)</f>
        <v/>
      </c>
      <c r="G95" s="20" t="str">
        <f>IF(C95="","",SUMPRODUCT((F95&gt;=Seuils)*Ecarts))</f>
        <v/>
      </c>
      <c r="H95" s="19" t="str">
        <f>IF(C95="","",CHOOSE(MATCH(ModePaliers,{"Par tranche","Au taux atteint","Au taux atteint rétroactif"},0),ROUND(SUMPRODUCT((F95&gt;Seuils)*(F95-Seuils)*Ecarts)-SUMPRODUCT((E95&gt;Seuils)*(E95-Seuils)*Ecarts),2),ROUND(D95*SUMPRODUCT((F95&gt;=Seuils)*Ecarts),2),ROUND(D95*SUMPRODUCT((F95&gt;=Seuils)*Ecarts),2)+ROUND(E95*(SUMPRODUCT((F95&gt;=Seuils)*Ecarts)-SUMPRODUCT((E95&gt;=Seuils)*Ecarts)),2)))</f>
        <v/>
      </c>
      <c r="I95" s="21"/>
      <c r="J95" s="19" t="str">
        <f>IF(C95="","",ROUND(H95*IF(I95="",1,I95),2))</f>
        <v/>
      </c>
    </row>
    <row r="96" spans="1:10" x14ac:dyDescent="0.25">
      <c r="A96" s="17"/>
      <c r="B96" s="6"/>
      <c r="C96" s="18"/>
      <c r="D96" s="19" t="str">
        <f>IF(C96="","",ROUND(C96/IF(SaisieHonoraires="TTC",1+TauxTVA,1),2))</f>
        <v/>
      </c>
      <c r="E96" s="19" t="str">
        <f>IF(C96="","",CAInitial+SUM(D$5:D95))</f>
        <v/>
      </c>
      <c r="F96" s="19" t="str">
        <f>IF(C96="","",E96+D96)</f>
        <v/>
      </c>
      <c r="G96" s="20" t="str">
        <f>IF(C96="","",SUMPRODUCT((F96&gt;=Seuils)*Ecarts))</f>
        <v/>
      </c>
      <c r="H96" s="19" t="str">
        <f>IF(C96="","",CHOOSE(MATCH(ModePaliers,{"Par tranche","Au taux atteint","Au taux atteint rétroactif"},0),ROUND(SUMPRODUCT((F96&gt;Seuils)*(F96-Seuils)*Ecarts)-SUMPRODUCT((E96&gt;Seuils)*(E96-Seuils)*Ecarts),2),ROUND(D96*SUMPRODUCT((F96&gt;=Seuils)*Ecarts),2),ROUND(D96*SUMPRODUCT((F96&gt;=Seuils)*Ecarts),2)+ROUND(E96*(SUMPRODUCT((F96&gt;=Seuils)*Ecarts)-SUMPRODUCT((E96&gt;=Seuils)*Ecarts)),2)))</f>
        <v/>
      </c>
      <c r="I96" s="21"/>
      <c r="J96" s="19" t="str">
        <f>IF(C96="","",ROUND(H96*IF(I96="",1,I96),2))</f>
        <v/>
      </c>
    </row>
    <row r="97" spans="1:10" x14ac:dyDescent="0.25">
      <c r="A97" s="17"/>
      <c r="B97" s="6"/>
      <c r="C97" s="18"/>
      <c r="D97" s="19" t="str">
        <f>IF(C97="","",ROUND(C97/IF(SaisieHonoraires="TTC",1+TauxTVA,1),2))</f>
        <v/>
      </c>
      <c r="E97" s="19" t="str">
        <f>IF(C97="","",CAInitial+SUM(D$5:D96))</f>
        <v/>
      </c>
      <c r="F97" s="19" t="str">
        <f>IF(C97="","",E97+D97)</f>
        <v/>
      </c>
      <c r="G97" s="20" t="str">
        <f>IF(C97="","",SUMPRODUCT((F97&gt;=Seuils)*Ecarts))</f>
        <v/>
      </c>
      <c r="H97" s="19" t="str">
        <f>IF(C97="","",CHOOSE(MATCH(ModePaliers,{"Par tranche","Au taux atteint","Au taux atteint rétroactif"},0),ROUND(SUMPRODUCT((F97&gt;Seuils)*(F97-Seuils)*Ecarts)-SUMPRODUCT((E97&gt;Seuils)*(E97-Seuils)*Ecarts),2),ROUND(D97*SUMPRODUCT((F97&gt;=Seuils)*Ecarts),2),ROUND(D97*SUMPRODUCT((F97&gt;=Seuils)*Ecarts),2)+ROUND(E97*(SUMPRODUCT((F97&gt;=Seuils)*Ecarts)-SUMPRODUCT((E97&gt;=Seuils)*Ecarts)),2)))</f>
        <v/>
      </c>
      <c r="I97" s="21"/>
      <c r="J97" s="19" t="str">
        <f>IF(C97="","",ROUND(H97*IF(I97="",1,I97),2))</f>
        <v/>
      </c>
    </row>
    <row r="98" spans="1:10" x14ac:dyDescent="0.25">
      <c r="A98" s="17"/>
      <c r="B98" s="6"/>
      <c r="C98" s="18"/>
      <c r="D98" s="19" t="str">
        <f>IF(C98="","",ROUND(C98/IF(SaisieHonoraires="TTC",1+TauxTVA,1),2))</f>
        <v/>
      </c>
      <c r="E98" s="19" t="str">
        <f>IF(C98="","",CAInitial+SUM(D$5:D97))</f>
        <v/>
      </c>
      <c r="F98" s="19" t="str">
        <f>IF(C98="","",E98+D98)</f>
        <v/>
      </c>
      <c r="G98" s="20" t="str">
        <f>IF(C98="","",SUMPRODUCT((F98&gt;=Seuils)*Ecarts))</f>
        <v/>
      </c>
      <c r="H98" s="19" t="str">
        <f>IF(C98="","",CHOOSE(MATCH(ModePaliers,{"Par tranche","Au taux atteint","Au taux atteint rétroactif"},0),ROUND(SUMPRODUCT((F98&gt;Seuils)*(F98-Seuils)*Ecarts)-SUMPRODUCT((E98&gt;Seuils)*(E98-Seuils)*Ecarts),2),ROUND(D98*SUMPRODUCT((F98&gt;=Seuils)*Ecarts),2),ROUND(D98*SUMPRODUCT((F98&gt;=Seuils)*Ecarts),2)+ROUND(E98*(SUMPRODUCT((F98&gt;=Seuils)*Ecarts)-SUMPRODUCT((E98&gt;=Seuils)*Ecarts)),2)))</f>
        <v/>
      </c>
      <c r="I98" s="21"/>
      <c r="J98" s="19" t="str">
        <f>IF(C98="","",ROUND(H98*IF(I98="",1,I98),2))</f>
        <v/>
      </c>
    </row>
    <row r="99" spans="1:10" x14ac:dyDescent="0.25">
      <c r="A99" s="17"/>
      <c r="B99" s="6"/>
      <c r="C99" s="18"/>
      <c r="D99" s="19" t="str">
        <f>IF(C99="","",ROUND(C99/IF(SaisieHonoraires="TTC",1+TauxTVA,1),2))</f>
        <v/>
      </c>
      <c r="E99" s="19" t="str">
        <f>IF(C99="","",CAInitial+SUM(D$5:D98))</f>
        <v/>
      </c>
      <c r="F99" s="19" t="str">
        <f>IF(C99="","",E99+D99)</f>
        <v/>
      </c>
      <c r="G99" s="20" t="str">
        <f>IF(C99="","",SUMPRODUCT((F99&gt;=Seuils)*Ecarts))</f>
        <v/>
      </c>
      <c r="H99" s="19" t="str">
        <f>IF(C99="","",CHOOSE(MATCH(ModePaliers,{"Par tranche","Au taux atteint","Au taux atteint rétroactif"},0),ROUND(SUMPRODUCT((F99&gt;Seuils)*(F99-Seuils)*Ecarts)-SUMPRODUCT((E99&gt;Seuils)*(E99-Seuils)*Ecarts),2),ROUND(D99*SUMPRODUCT((F99&gt;=Seuils)*Ecarts),2),ROUND(D99*SUMPRODUCT((F99&gt;=Seuils)*Ecarts),2)+ROUND(E99*(SUMPRODUCT((F99&gt;=Seuils)*Ecarts)-SUMPRODUCT((E99&gt;=Seuils)*Ecarts)),2)))</f>
        <v/>
      </c>
      <c r="I99" s="21"/>
      <c r="J99" s="19" t="str">
        <f>IF(C99="","",ROUND(H99*IF(I99="",1,I99),2))</f>
        <v/>
      </c>
    </row>
    <row r="100" spans="1:10" x14ac:dyDescent="0.25">
      <c r="A100" s="17"/>
      <c r="B100" s="6"/>
      <c r="C100" s="18"/>
      <c r="D100" s="19" t="str">
        <f>IF(C100="","",ROUND(C100/IF(SaisieHonoraires="TTC",1+TauxTVA,1),2))</f>
        <v/>
      </c>
      <c r="E100" s="19" t="str">
        <f>IF(C100="","",CAInitial+SUM(D$5:D99))</f>
        <v/>
      </c>
      <c r="F100" s="19" t="str">
        <f>IF(C100="","",E100+D100)</f>
        <v/>
      </c>
      <c r="G100" s="20" t="str">
        <f>IF(C100="","",SUMPRODUCT((F100&gt;=Seuils)*Ecarts))</f>
        <v/>
      </c>
      <c r="H100" s="19" t="str">
        <f>IF(C100="","",CHOOSE(MATCH(ModePaliers,{"Par tranche","Au taux atteint","Au taux atteint rétroactif"},0),ROUND(SUMPRODUCT((F100&gt;Seuils)*(F100-Seuils)*Ecarts)-SUMPRODUCT((E100&gt;Seuils)*(E100-Seuils)*Ecarts),2),ROUND(D100*SUMPRODUCT((F100&gt;=Seuils)*Ecarts),2),ROUND(D100*SUMPRODUCT((F100&gt;=Seuils)*Ecarts),2)+ROUND(E100*(SUMPRODUCT((F100&gt;=Seuils)*Ecarts)-SUMPRODUCT((E100&gt;=Seuils)*Ecarts)),2)))</f>
        <v/>
      </c>
      <c r="I100" s="21"/>
      <c r="J100" s="19" t="str">
        <f>IF(C100="","",ROUND(H100*IF(I100="",1,I100),2))</f>
        <v/>
      </c>
    </row>
    <row r="101" spans="1:10" x14ac:dyDescent="0.25">
      <c r="A101" s="17"/>
      <c r="B101" s="6"/>
      <c r="C101" s="18"/>
      <c r="D101" s="19" t="str">
        <f>IF(C101="","",ROUND(C101/IF(SaisieHonoraires="TTC",1+TauxTVA,1),2))</f>
        <v/>
      </c>
      <c r="E101" s="19" t="str">
        <f>IF(C101="","",CAInitial+SUM(D$5:D100))</f>
        <v/>
      </c>
      <c r="F101" s="19" t="str">
        <f>IF(C101="","",E101+D101)</f>
        <v/>
      </c>
      <c r="G101" s="20" t="str">
        <f>IF(C101="","",SUMPRODUCT((F101&gt;=Seuils)*Ecarts))</f>
        <v/>
      </c>
      <c r="H101" s="19" t="str">
        <f>IF(C101="","",CHOOSE(MATCH(ModePaliers,{"Par tranche","Au taux atteint","Au taux atteint rétroactif"},0),ROUND(SUMPRODUCT((F101&gt;Seuils)*(F101-Seuils)*Ecarts)-SUMPRODUCT((E101&gt;Seuils)*(E101-Seuils)*Ecarts),2),ROUND(D101*SUMPRODUCT((F101&gt;=Seuils)*Ecarts),2),ROUND(D101*SUMPRODUCT((F101&gt;=Seuils)*Ecarts),2)+ROUND(E101*(SUMPRODUCT((F101&gt;=Seuils)*Ecarts)-SUMPRODUCT((E101&gt;=Seuils)*Ecarts)),2)))</f>
        <v/>
      </c>
      <c r="I101" s="21"/>
      <c r="J101" s="19" t="str">
        <f>IF(C101="","",ROUND(H101*IF(I101="",1,I101),2))</f>
        <v/>
      </c>
    </row>
    <row r="102" spans="1:10" x14ac:dyDescent="0.25">
      <c r="A102" s="17"/>
      <c r="B102" s="6"/>
      <c r="C102" s="18"/>
      <c r="D102" s="19" t="str">
        <f>IF(C102="","",ROUND(C102/IF(SaisieHonoraires="TTC",1+TauxTVA,1),2))</f>
        <v/>
      </c>
      <c r="E102" s="19" t="str">
        <f>IF(C102="","",CAInitial+SUM(D$5:D101))</f>
        <v/>
      </c>
      <c r="F102" s="19" t="str">
        <f>IF(C102="","",E102+D102)</f>
        <v/>
      </c>
      <c r="G102" s="20" t="str">
        <f>IF(C102="","",SUMPRODUCT((F102&gt;=Seuils)*Ecarts))</f>
        <v/>
      </c>
      <c r="H102" s="19" t="str">
        <f>IF(C102="","",CHOOSE(MATCH(ModePaliers,{"Par tranche","Au taux atteint","Au taux atteint rétroactif"},0),ROUND(SUMPRODUCT((F102&gt;Seuils)*(F102-Seuils)*Ecarts)-SUMPRODUCT((E102&gt;Seuils)*(E102-Seuils)*Ecarts),2),ROUND(D102*SUMPRODUCT((F102&gt;=Seuils)*Ecarts),2),ROUND(D102*SUMPRODUCT((F102&gt;=Seuils)*Ecarts),2)+ROUND(E102*(SUMPRODUCT((F102&gt;=Seuils)*Ecarts)-SUMPRODUCT((E102&gt;=Seuils)*Ecarts)),2)))</f>
        <v/>
      </c>
      <c r="I102" s="21"/>
      <c r="J102" s="19" t="str">
        <f>IF(C102="","",ROUND(H102*IF(I102="",1,I102),2))</f>
        <v/>
      </c>
    </row>
    <row r="103" spans="1:10" x14ac:dyDescent="0.25">
      <c r="A103" s="17"/>
      <c r="B103" s="6"/>
      <c r="C103" s="18"/>
      <c r="D103" s="19" t="str">
        <f>IF(C103="","",ROUND(C103/IF(SaisieHonoraires="TTC",1+TauxTVA,1),2))</f>
        <v/>
      </c>
      <c r="E103" s="19" t="str">
        <f>IF(C103="","",CAInitial+SUM(D$5:D102))</f>
        <v/>
      </c>
      <c r="F103" s="19" t="str">
        <f>IF(C103="","",E103+D103)</f>
        <v/>
      </c>
      <c r="G103" s="20" t="str">
        <f>IF(C103="","",SUMPRODUCT((F103&gt;=Seuils)*Ecarts))</f>
        <v/>
      </c>
      <c r="H103" s="19" t="str">
        <f>IF(C103="","",CHOOSE(MATCH(ModePaliers,{"Par tranche","Au taux atteint","Au taux atteint rétroactif"},0),ROUND(SUMPRODUCT((F103&gt;Seuils)*(F103-Seuils)*Ecarts)-SUMPRODUCT((E103&gt;Seuils)*(E103-Seuils)*Ecarts),2),ROUND(D103*SUMPRODUCT((F103&gt;=Seuils)*Ecarts),2),ROUND(D103*SUMPRODUCT((F103&gt;=Seuils)*Ecarts),2)+ROUND(E103*(SUMPRODUCT((F103&gt;=Seuils)*Ecarts)-SUMPRODUCT((E103&gt;=Seuils)*Ecarts)),2)))</f>
        <v/>
      </c>
      <c r="I103" s="21"/>
      <c r="J103" s="19" t="str">
        <f>IF(C103="","",ROUND(H103*IF(I103="",1,I103),2))</f>
        <v/>
      </c>
    </row>
    <row r="104" spans="1:10" x14ac:dyDescent="0.25">
      <c r="A104" s="17"/>
      <c r="B104" s="6"/>
      <c r="C104" s="18"/>
      <c r="D104" s="19" t="str">
        <f>IF(C104="","",ROUND(C104/IF(SaisieHonoraires="TTC",1+TauxTVA,1),2))</f>
        <v/>
      </c>
      <c r="E104" s="19" t="str">
        <f>IF(C104="","",CAInitial+SUM(D$5:D103))</f>
        <v/>
      </c>
      <c r="F104" s="19" t="str">
        <f>IF(C104="","",E104+D104)</f>
        <v/>
      </c>
      <c r="G104" s="20" t="str">
        <f>IF(C104="","",SUMPRODUCT((F104&gt;=Seuils)*Ecarts))</f>
        <v/>
      </c>
      <c r="H104" s="19" t="str">
        <f>IF(C104="","",CHOOSE(MATCH(ModePaliers,{"Par tranche","Au taux atteint","Au taux atteint rétroactif"},0),ROUND(SUMPRODUCT((F104&gt;Seuils)*(F104-Seuils)*Ecarts)-SUMPRODUCT((E104&gt;Seuils)*(E104-Seuils)*Ecarts),2),ROUND(D104*SUMPRODUCT((F104&gt;=Seuils)*Ecarts),2),ROUND(D104*SUMPRODUCT((F104&gt;=Seuils)*Ecarts),2)+ROUND(E104*(SUMPRODUCT((F104&gt;=Seuils)*Ecarts)-SUMPRODUCT((E104&gt;=Seuils)*Ecarts)),2)))</f>
        <v/>
      </c>
      <c r="I104" s="21"/>
      <c r="J104" s="19" t="str">
        <f>IF(C104="","",ROUND(H104*IF(I104="",1,I104),2))</f>
        <v/>
      </c>
    </row>
    <row r="105" spans="1:10" x14ac:dyDescent="0.25">
      <c r="A105" s="17"/>
      <c r="B105" s="6"/>
      <c r="C105" s="18"/>
      <c r="D105" s="19" t="str">
        <f>IF(C105="","",ROUND(C105/IF(SaisieHonoraires="TTC",1+TauxTVA,1),2))</f>
        <v/>
      </c>
      <c r="E105" s="19" t="str">
        <f>IF(C105="","",CAInitial+SUM(D$5:D104))</f>
        <v/>
      </c>
      <c r="F105" s="19" t="str">
        <f>IF(C105="","",E105+D105)</f>
        <v/>
      </c>
      <c r="G105" s="20" t="str">
        <f>IF(C105="","",SUMPRODUCT((F105&gt;=Seuils)*Ecarts))</f>
        <v/>
      </c>
      <c r="H105" s="19" t="str">
        <f>IF(C105="","",CHOOSE(MATCH(ModePaliers,{"Par tranche","Au taux atteint","Au taux atteint rétroactif"},0),ROUND(SUMPRODUCT((F105&gt;Seuils)*(F105-Seuils)*Ecarts)-SUMPRODUCT((E105&gt;Seuils)*(E105-Seuils)*Ecarts),2),ROUND(D105*SUMPRODUCT((F105&gt;=Seuils)*Ecarts),2),ROUND(D105*SUMPRODUCT((F105&gt;=Seuils)*Ecarts),2)+ROUND(E105*(SUMPRODUCT((F105&gt;=Seuils)*Ecarts)-SUMPRODUCT((E105&gt;=Seuils)*Ecarts)),2)))</f>
        <v/>
      </c>
      <c r="I105" s="21"/>
      <c r="J105" s="19" t="str">
        <f>IF(C105="","",ROUND(H105*IF(I105="",1,I105),2))</f>
        <v/>
      </c>
    </row>
    <row r="107" spans="1:1" x14ac:dyDescent="0.25">
      <c r="A107" s="10" t="s">
        <v>63</v>
      </c>
    </row>
  </sheetData>
  <dataValidations count="2">
    <dataValidation type="decimal" allowBlank="1" showErrorMessage="1" error="Une part entre 0 % et 100 %." sqref="I10:I105">
      <formula1>0</formula1>
      <formula2>1</formula2>
    </dataValidation>
    <dataValidation type="decimal" allowBlank="1" showErrorMessage="1" error="Une part entre 0 % et 100 %." sqref="I6:I105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 d’emploi</vt:lpstr>
      <vt:lpstr>Grille</vt:lpstr>
      <vt:lpstr>Ventes</vt:lpstr>
    </vt:vector>
  </TitlesOfParts>
  <Company>GrowCom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GrowCom</dc:creator>
  <dc:title>Grille de commissionnement</dc:title>
  <dc:subject/>
  <dc:description/>
  <cp:keywords/>
  <cp:category/>
  <cp:lastModifiedBy>Unknown</cp:lastModifiedBy>
  <dcterms:created xsi:type="dcterms:W3CDTF">2026-09-29T18:59:01Z</dcterms:created>
  <dcterms:modified xsi:type="dcterms:W3CDTF">2026-09-29T18:59:01Z</dcterms:modified>
</cp:coreProperties>
</file>